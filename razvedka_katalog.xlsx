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>
    <definedName name="_xlnm._FilterDatabase" localSheetId="0" hidden="1">'Каталог'!$A$4:$R$65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i val="1"/>
      <color rgb="00666666"/>
    </font>
    <font>
      <b val="1"/>
      <color rgb="00FFFFFF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1F1F1F"/>
      </patternFill>
    </fill>
    <fill>
      <patternFill patternType="solid">
        <fgColor rgb="00FDE8E4"/>
      </patternFill>
    </fill>
    <fill>
      <patternFill patternType="solid">
        <fgColor rgb="00FFF9D6"/>
      </patternFill>
    </fill>
    <fill>
      <patternFill patternType="solid">
        <fgColor rgb="00E4EEFD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0" borderId="1" applyAlignment="1" pivotButton="0" quotePrefix="0" xfId="0">
      <alignment horizontal="right" vertical="top"/>
    </xf>
    <xf numFmtId="3" fontId="3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stohome.github.io/ch26-razvedka-x7k2/video/canton_639962.mp4" TargetMode="External" Id="rId1"/><Relationship Type="http://schemas.openxmlformats.org/officeDocument/2006/relationships/hyperlink" Target="https://prostohome.github.io/ch26-razvedka-x7k2/img/canton_639963.jpg" TargetMode="External" Id="rId2"/><Relationship Type="http://schemas.openxmlformats.org/officeDocument/2006/relationships/hyperlink" Target="https://www.lfchairs.com (&#1086;&#1090;&#1082;&#1088;&#1099;&#1074;&#1072;&#1077;&#1090;&#1089;&#1103;, &#1073;&#1088;&#1077;&#1085;&#1076; &#23500;&#21644;&#23478;&#20855; Fuhe Furniture)" TargetMode="External" Id="rId3"/><Relationship Type="http://schemas.openxmlformats.org/officeDocument/2006/relationships/hyperlink" Target="https://prostohome.github.io/ch26-razvedka-x7k2/video/canton_639972.mp4" TargetMode="External" Id="rId4"/><Relationship Type="http://schemas.openxmlformats.org/officeDocument/2006/relationships/hyperlink" Target="https://prostohome.github.io/ch26-razvedka-x7k2/img/canton_639971.jpg" TargetMode="External" Id="rId5"/><Relationship Type="http://schemas.openxmlformats.org/officeDocument/2006/relationships/hyperlink" Target="https://prostohome.github.io/ch26-razvedka-x7k2/video/canton_639980.mp4" TargetMode="External" Id="rId6"/><Relationship Type="http://schemas.openxmlformats.org/officeDocument/2006/relationships/hyperlink" Target="https://prostohome.github.io/ch26-razvedka-x7k2/video/canton_639984.mp4" TargetMode="External" Id="rId7"/><Relationship Type="http://schemas.openxmlformats.org/officeDocument/2006/relationships/hyperlink" Target="https://prostohome.github.io/ch26-razvedka-x7k2/img/canton_639986.jpg" TargetMode="External" Id="rId8"/><Relationship Type="http://schemas.openxmlformats.org/officeDocument/2006/relationships/hyperlink" Target="https://prostohome.github.io/ch26-razvedka-x7k2/video/canton_640001.mp4" TargetMode="External" Id="rId9"/><Relationship Type="http://schemas.openxmlformats.org/officeDocument/2006/relationships/hyperlink" Target="https://prostohome.github.io/ch26-razvedka-x7k2/img/canton_640000.jpg" TargetMode="External" Id="rId10"/><Relationship Type="http://schemas.openxmlformats.org/officeDocument/2006/relationships/hyperlink" Target="https://prostohome.github.io/ch26-razvedka-x7k2/video/canton_639999.mp4" TargetMode="External" Id="rId11"/><Relationship Type="http://schemas.openxmlformats.org/officeDocument/2006/relationships/hyperlink" Target="https://prostohome.github.io/ch26-razvedka-x7k2/img/canton_640007.jpg" TargetMode="External" Id="rId12"/><Relationship Type="http://schemas.openxmlformats.org/officeDocument/2006/relationships/hyperlink" Target="http://www.demeifurniture.com" TargetMode="External" Id="rId13"/><Relationship Type="http://schemas.openxmlformats.org/officeDocument/2006/relationships/hyperlink" Target="https://prostohome.github.io/ch26-razvedka-x7k2/video/canton_640005.mp4" TargetMode="External" Id="rId14"/><Relationship Type="http://schemas.openxmlformats.org/officeDocument/2006/relationships/hyperlink" Target="https://prostohome.github.io/ch26-razvedka-x7k2/img/canton_640012.jpg" TargetMode="External" Id="rId15"/><Relationship Type="http://schemas.openxmlformats.org/officeDocument/2006/relationships/hyperlink" Target="https://www.younikefurniture.com &#8212; &#1042;&#1053;&#1048;&#1052;&#1040;&#1053;&#1048;&#1045;: &#1089;&#1072;&#1081;&#1090; &#1103;&#1074;&#1083;&#1103;&#1077;&#1090;&#1089;&#1103; &#1088;&#1086;&#1079;&#1085;&#1080;&#1095;&#1085;&#1099;&#1084; &#1084;&#1072;&#1075;&#1072;&#1079;&#1080;&#1085;&#1086;&#1084; &#1076;&#1083;&#1103; &#1057;&#1064;&#1040; (free shipping, &#1074;&#1086;&#1079;&#1074;&#1088;&#1072;&#1090;&#1099; 30 &#1076;&#1085;&#1077;&#1081;), &#1085;&#1077; &#1079;&#1072;&#1074;&#1086;&#1076;; &#1089;&#1074;&#1103;&#1079;&#1100; &#1089; Anji Younike &#1085;&#1077; &#1087;&#1086;&#1076;&#1090;&#1074;&#1077;&#1088;&#1078;&#1076;&#1077;&#1085;&#1072;" TargetMode="External" Id="rId16"/><Relationship Type="http://schemas.openxmlformats.org/officeDocument/2006/relationships/hyperlink" Target="https://prostohome.github.io/ch26-razvedka-x7k2/video/canton_640015.mp4" TargetMode="External" Id="rId17"/><Relationship Type="http://schemas.openxmlformats.org/officeDocument/2006/relationships/hyperlink" Target="https://prostohome.github.io/ch26-razvedka-x7k2/img/canton_640014.jpg" TargetMode="External" Id="rId18"/><Relationship Type="http://schemas.openxmlformats.org/officeDocument/2006/relationships/hyperlink" Target="https://prostohome.github.io/ch26-razvedka-x7k2/video/canton_640033.mp4" TargetMode="External" Id="rId19"/><Relationship Type="http://schemas.openxmlformats.org/officeDocument/2006/relationships/hyperlink" Target="https://prostohome.github.io/ch26-razvedka-x7k2/img/canton_640032.jpg" TargetMode="External" Id="rId20"/><Relationship Type="http://schemas.openxmlformats.org/officeDocument/2006/relationships/hyperlink" Target="http://www.lainuofurniture.com" TargetMode="External" Id="rId21"/><Relationship Type="http://schemas.openxmlformats.org/officeDocument/2006/relationships/hyperlink" Target="https://prostohome.github.io/ch26-razvedka-x7k2/video/canton_640042.mp4" TargetMode="External" Id="rId22"/><Relationship Type="http://schemas.openxmlformats.org/officeDocument/2006/relationships/hyperlink" Target="https://prostohome.github.io/ch26-razvedka-x7k2/img/canton_640043.jpg" TargetMode="External" Id="rId23"/><Relationship Type="http://schemas.openxmlformats.org/officeDocument/2006/relationships/hyperlink" Target="https://prostohome.github.io/ch26-razvedka-x7k2/video/canton_640051.mp4" TargetMode="External" Id="rId24"/><Relationship Type="http://schemas.openxmlformats.org/officeDocument/2006/relationships/hyperlink" Target="https://prostohome.github.io/ch26-razvedka-x7k2/img/canton_640052.jpg" TargetMode="External" Id="rId25"/><Relationship Type="http://schemas.openxmlformats.org/officeDocument/2006/relationships/hyperlink" Target="http://www.hychair.com" TargetMode="External" Id="rId26"/><Relationship Type="http://schemas.openxmlformats.org/officeDocument/2006/relationships/hyperlink" Target="https://prostohome.github.io/ch26-razvedka-x7k2/video/canton_640062.mp4" TargetMode="External" Id="rId27"/><Relationship Type="http://schemas.openxmlformats.org/officeDocument/2006/relationships/hyperlink" Target="https://prostohome.github.io/ch26-razvedka-x7k2/img/canton_640064.jpg" TargetMode="External" Id="rId28"/><Relationship Type="http://schemas.openxmlformats.org/officeDocument/2006/relationships/hyperlink" Target="https://prostohome.github.io/ch26-razvedka-x7k2/video/canton_640081.mp4" TargetMode="External" Id="rId29"/><Relationship Type="http://schemas.openxmlformats.org/officeDocument/2006/relationships/hyperlink" Target="https://prostohome.github.io/ch26-razvedka-x7k2/img/canton_640082.jpg" TargetMode="External" Id="rId30"/><Relationship Type="http://schemas.openxmlformats.org/officeDocument/2006/relationships/hyperlink" Target="https://prostohome.github.io/ch26-razvedka-x7k2/img/canton_640093.jpg" TargetMode="External" Id="rId31"/><Relationship Type="http://schemas.openxmlformats.org/officeDocument/2006/relationships/hyperlink" Target="https://www.leadan.com (&#1085;&#1077; &#1086;&#1090;&#1082;&#1088;&#1099;&#1083;&#1089;&#1103;: &#1086;&#1096;&#1080;&#1073;&#1082;&#1072; &#1089;&#1077;&#1088;&#1090;&#1080;&#1092;&#1080;&#1082;&#1072;&#1090;&#1072;)" TargetMode="External" Id="rId32"/><Relationship Type="http://schemas.openxmlformats.org/officeDocument/2006/relationships/hyperlink" Target="https://prostohome.github.io/ch26-razvedka-x7k2/img/canton_640103.jpg" TargetMode="External" Id="rId33"/><Relationship Type="http://schemas.openxmlformats.org/officeDocument/2006/relationships/hyperlink" Target="https://prostohome.github.io/ch26-razvedka-x7k2/video/canton_640109.mp4" TargetMode="External" Id="rId34"/><Relationship Type="http://schemas.openxmlformats.org/officeDocument/2006/relationships/hyperlink" Target="https://junhanfurniture.cn" TargetMode="External" Id="rId35"/><Relationship Type="http://schemas.openxmlformats.org/officeDocument/2006/relationships/hyperlink" Target="https://prostohome.github.io/ch26-razvedka-x7k2/video/canton_640115.mp4" TargetMode="External" Id="rId36"/><Relationship Type="http://schemas.openxmlformats.org/officeDocument/2006/relationships/hyperlink" Target="https://prostohome.github.io/ch26-razvedka-x7k2/img/canton_640114.jpg" TargetMode="External" Id="rId37"/><Relationship Type="http://schemas.openxmlformats.org/officeDocument/2006/relationships/hyperlink" Target="https://www.ch-ruili.com (&#1085;&#1077; &#1086;&#1090;&#1082;&#1088;&#1099;&#1083;&#1089;&#1103;); langfangruili.en.alibaba.com" TargetMode="External" Id="rId38"/><Relationship Type="http://schemas.openxmlformats.org/officeDocument/2006/relationships/hyperlink" Target="https://prostohome.github.io/ch26-razvedka-x7k2/video/canton_640119.mp4" TargetMode="External" Id="rId39"/><Relationship Type="http://schemas.openxmlformats.org/officeDocument/2006/relationships/hyperlink" Target="https://prostohome.github.io/ch26-razvedka-x7k2/img/canton_640118.jpg" TargetMode="External" Id="rId40"/><Relationship Type="http://schemas.openxmlformats.org/officeDocument/2006/relationships/hyperlink" Target="https://prostohome.github.io/ch26-razvedka-x7k2/video/canton_640127.mp4" TargetMode="External" Id="rId41"/><Relationship Type="http://schemas.openxmlformats.org/officeDocument/2006/relationships/hyperlink" Target="https://prostohome.github.io/ch26-razvedka-x7k2/img/canton_640128.jpg" TargetMode="External" Id="rId42"/><Relationship Type="http://schemas.openxmlformats.org/officeDocument/2006/relationships/hyperlink" Target="https://prostohome.github.io/ch26-razvedka-x7k2/video/canton_640134.mp4" TargetMode="External" Id="rId43"/><Relationship Type="http://schemas.openxmlformats.org/officeDocument/2006/relationships/hyperlink" Target="https://prostohome.github.io/ch26-razvedka-x7k2/img/canton_640136.jpg" TargetMode="External" Id="rId44"/><Relationship Type="http://schemas.openxmlformats.org/officeDocument/2006/relationships/hyperlink" Target="https://prostohome.github.io/ch26-razvedka-x7k2/img/canton_640148.jpg" TargetMode="External" Id="rId45"/><Relationship Type="http://schemas.openxmlformats.org/officeDocument/2006/relationships/hyperlink" Target="https://prostohome.github.io/ch26-razvedka-x7k2/video/canton_640167.mp4" TargetMode="External" Id="rId46"/><Relationship Type="http://schemas.openxmlformats.org/officeDocument/2006/relationships/hyperlink" Target="https://prostohome.github.io/ch26-razvedka-x7k2/img/canton_640168.jpg" TargetMode="External" Id="rId47"/><Relationship Type="http://schemas.openxmlformats.org/officeDocument/2006/relationships/hyperlink" Target="https://prostohome.github.io/ch26-razvedka-x7k2/video/canton_640205.mp4" TargetMode="External" Id="rId48"/><Relationship Type="http://schemas.openxmlformats.org/officeDocument/2006/relationships/hyperlink" Target="https://prostohome.github.io/ch26-razvedka-x7k2/img/canton_640203.jpg" TargetMode="External" Id="rId49"/><Relationship Type="http://schemas.openxmlformats.org/officeDocument/2006/relationships/hyperlink" Target="https://www.nutrendcn.com (&#1085;&#1077; &#1086;&#1090;&#1082;&#1088;&#1099;&#1083;&#1089;&#1103;: &#1089;&#1077;&#1088;&#1090;&#1080;&#1092;&#1080;&#1082;&#1072;&#1090; &#1080;&#1089;&#1090;&#1105;&#1082;)" TargetMode="External" Id="rId50"/><Relationship Type="http://schemas.openxmlformats.org/officeDocument/2006/relationships/hyperlink" Target="https://prostohome.github.io/ch26-razvedka-x7k2/video/canton_640212.mp4" TargetMode="External" Id="rId51"/><Relationship Type="http://schemas.openxmlformats.org/officeDocument/2006/relationships/hyperlink" Target="https://prostohome.github.io/ch26-razvedka-x7k2/img/canton_640213.jpg" TargetMode="External" Id="rId52"/><Relationship Type="http://schemas.openxmlformats.org/officeDocument/2006/relationships/hyperlink" Target="https://www.zjhdfurniture.com" TargetMode="External" Id="rId53"/><Relationship Type="http://schemas.openxmlformats.org/officeDocument/2006/relationships/hyperlink" Target="https://prostohome.github.io/ch26-razvedka-x7k2/video/canton_640248.mp4" TargetMode="External" Id="rId54"/><Relationship Type="http://schemas.openxmlformats.org/officeDocument/2006/relationships/hyperlink" Target="https://prostohome.github.io/ch26-razvedka-x7k2/img/canton_640259.jpg" TargetMode="External" Id="rId55"/><Relationship Type="http://schemas.openxmlformats.org/officeDocument/2006/relationships/hyperlink" Target="https://prostohome.github.io/ch26-razvedka-x7k2/video/canton_640263.mp4" TargetMode="External" Id="rId56"/><Relationship Type="http://schemas.openxmlformats.org/officeDocument/2006/relationships/hyperlink" Target="https://prostohome.github.io/ch26-razvedka-x7k2/img/canton_640262.jpg" TargetMode="External" Id="rId57"/><Relationship Type="http://schemas.openxmlformats.org/officeDocument/2006/relationships/hyperlink" Target="https://prostohome.github.io/ch26-razvedka-x7k2/video/canton_640268.mp4" TargetMode="External" Id="rId58"/><Relationship Type="http://schemas.openxmlformats.org/officeDocument/2006/relationships/hyperlink" Target="https://prostohome.github.io/ch26-razvedka-x7k2/img/canton_640270.jpg" TargetMode="External" Id="rId59"/><Relationship Type="http://schemas.openxmlformats.org/officeDocument/2006/relationships/hyperlink" Target="https://www.manleepetg.com/" TargetMode="External" Id="rId60"/><Relationship Type="http://schemas.openxmlformats.org/officeDocument/2006/relationships/hyperlink" Target="https://prostohome.github.io/ch26-razvedka-x7k2/video/canton_640336.mp4" TargetMode="External" Id="rId61"/><Relationship Type="http://schemas.openxmlformats.org/officeDocument/2006/relationships/hyperlink" Target="https://prostohome.github.io/ch26-razvedka-x7k2/img/canton_640337.jpg" TargetMode="External" Id="rId62"/><Relationship Type="http://schemas.openxmlformats.org/officeDocument/2006/relationships/hyperlink" Target="https://prostohome.github.io/ch26-razvedka-x7k2/video/canton_640347.mp4" TargetMode="External" Id="rId63"/><Relationship Type="http://schemas.openxmlformats.org/officeDocument/2006/relationships/hyperlink" Target="https://prostohome.github.io/ch26-razvedka-x7k2/img/canton_640348.jpg" TargetMode="External" Id="rId64"/><Relationship Type="http://schemas.openxmlformats.org/officeDocument/2006/relationships/hyperlink" Target="http://www.wuxintransfer.com" TargetMode="External" Id="rId65"/><Relationship Type="http://schemas.openxmlformats.org/officeDocument/2006/relationships/hyperlink" Target="https://prostohome.github.io/ch26-razvedka-x7k2/video/canton_640487.mp4" TargetMode="External" Id="rId66"/><Relationship Type="http://schemas.openxmlformats.org/officeDocument/2006/relationships/hyperlink" Target="https://prostohome.github.io/ch26-razvedka-x7k2/img/canton_640488.jpg" TargetMode="External" Id="rId67"/><Relationship Type="http://schemas.openxmlformats.org/officeDocument/2006/relationships/hyperlink" Target="https://prostohome.github.io/ch26-razvedka-x7k2/video/canton_640538.mp4" TargetMode="External" Id="rId68"/><Relationship Type="http://schemas.openxmlformats.org/officeDocument/2006/relationships/hyperlink" Target="https://prostohome.github.io/ch26-razvedka-x7k2/img/canton_640536.jpg" TargetMode="External" Id="rId69"/><Relationship Type="http://schemas.openxmlformats.org/officeDocument/2006/relationships/hyperlink" Target="https://prostohome.github.io/ch26-razvedka-x7k2/video/canton_640573.mp4" TargetMode="External" Id="rId70"/><Relationship Type="http://schemas.openxmlformats.org/officeDocument/2006/relationships/hyperlink" Target="https://prostohome.github.io/ch26-razvedka-x7k2/img/canton_640572.jpg" TargetMode="External" Id="rId71"/><Relationship Type="http://schemas.openxmlformats.org/officeDocument/2006/relationships/hyperlink" Target="https://prostohome.github.io/ch26-razvedka-x7k2/img/canton_640576.jpg" TargetMode="External" Id="rId72"/><Relationship Type="http://schemas.openxmlformats.org/officeDocument/2006/relationships/hyperlink" Target="http://www.suzhoulongterm.com" TargetMode="External" Id="rId73"/><Relationship Type="http://schemas.openxmlformats.org/officeDocument/2006/relationships/hyperlink" Target="https://prostohome.github.io/ch26-razvedka-x7k2/img/canton_640681.jpg" TargetMode="External" Id="rId74"/><Relationship Type="http://schemas.openxmlformats.org/officeDocument/2006/relationships/hyperlink" Target="https://prostohome.github.io/ch26-razvedka-x7k2/img/canton_640678.jpg" TargetMode="External" Id="rId75"/><Relationship Type="http://schemas.openxmlformats.org/officeDocument/2006/relationships/hyperlink" Target="https://prostohome.github.io/ch26-razvedka-x7k2/video/ciff_543369.mp4" TargetMode="External" Id="rId76"/><Relationship Type="http://schemas.openxmlformats.org/officeDocument/2006/relationships/hyperlink" Target="https://prostohome.github.io/ch26-razvedka-x7k2/img/ciff_543229.jpg" TargetMode="External" Id="rId77"/><Relationship Type="http://schemas.openxmlformats.org/officeDocument/2006/relationships/hyperlink" Target="https://prostohome.github.io/ch26-razvedka-x7k2/video/ciff_543378.mp4" TargetMode="External" Id="rId78"/><Relationship Type="http://schemas.openxmlformats.org/officeDocument/2006/relationships/hyperlink" Target="https://prostohome.github.io/ch26-razvedka-x7k2/video/ciff_543380.mp4" TargetMode="External" Id="rId79"/><Relationship Type="http://schemas.openxmlformats.org/officeDocument/2006/relationships/hyperlink" Target="https://prostohome.github.io/ch26-razvedka-x7k2/img/ciff_543222.jpg" TargetMode="External" Id="rId80"/><Relationship Type="http://schemas.openxmlformats.org/officeDocument/2006/relationships/hyperlink" Target="https://prostohome.github.io/ch26-razvedka-x7k2/img/ciff_543219.jpg" TargetMode="External" Id="rId81"/><Relationship Type="http://schemas.openxmlformats.org/officeDocument/2006/relationships/hyperlink" Target="https://prostohome.github.io/ch26-razvedka-x7k2/video/ciff_543392.mp4" TargetMode="External" Id="rId82"/><Relationship Type="http://schemas.openxmlformats.org/officeDocument/2006/relationships/hyperlink" Target="https://prostohome.github.io/ch26-razvedka-x7k2/img/ciff_543225.jpg" TargetMode="External" Id="rId83"/><Relationship Type="http://schemas.openxmlformats.org/officeDocument/2006/relationships/hyperlink" Target="https://prostohome.github.io/ch26-razvedka-x7k2/video/ciff_543395.mp4" TargetMode="External" Id="rId84"/><Relationship Type="http://schemas.openxmlformats.org/officeDocument/2006/relationships/hyperlink" Target="https://prostohome.github.io/ch26-razvedka-x7k2/img/ciff_543217.jpg" TargetMode="External" Id="rId85"/><Relationship Type="http://schemas.openxmlformats.org/officeDocument/2006/relationships/hyperlink" Target="https://prostohome.github.io/ch26-razvedka-x7k2/img/ciff_543218.jpg" TargetMode="External" Id="rId86"/><Relationship Type="http://schemas.openxmlformats.org/officeDocument/2006/relationships/hyperlink" Target="https://prostohome.github.io/ch26-razvedka-x7k2/video/ciff_543396.mp4" TargetMode="External" Id="rId87"/><Relationship Type="http://schemas.openxmlformats.org/officeDocument/2006/relationships/hyperlink" Target="https://www.sanq.cn" TargetMode="External" Id="rId88"/><Relationship Type="http://schemas.openxmlformats.org/officeDocument/2006/relationships/hyperlink" Target="https://prostohome.github.io/ch26-razvedka-x7k2/video/ciff_543421.mp4" TargetMode="External" Id="rId89"/><Relationship Type="http://schemas.openxmlformats.org/officeDocument/2006/relationships/hyperlink" Target="https://prostohome.github.io/ch26-razvedka-x7k2/img/ciff_543230.jpg" TargetMode="External" Id="rId90"/><Relationship Type="http://schemas.openxmlformats.org/officeDocument/2006/relationships/hyperlink" Target="https://emfinecn.com" TargetMode="External" Id="rId91"/><Relationship Type="http://schemas.openxmlformats.org/officeDocument/2006/relationships/hyperlink" Target="https://prostohome.github.io/ch26-razvedka-x7k2/video/ciff_543422.mp4" TargetMode="External" Id="rId92"/><Relationship Type="http://schemas.openxmlformats.org/officeDocument/2006/relationships/hyperlink" Target="https://prostohome.github.io/ch26-razvedka-x7k2/video/ciff_543423.mp4" TargetMode="External" Id="rId93"/><Relationship Type="http://schemas.openxmlformats.org/officeDocument/2006/relationships/hyperlink" Target="https://prostohome.github.io/ch26-razvedka-x7k2/img/ciff_543220.jpg" TargetMode="External" Id="rId94"/><Relationship Type="http://schemas.openxmlformats.org/officeDocument/2006/relationships/hyperlink" Target="https://prostohome.github.io/ch26-razvedka-x7k2/video/ciff_543433.mp4" TargetMode="External" Id="rId95"/><Relationship Type="http://schemas.openxmlformats.org/officeDocument/2006/relationships/hyperlink" Target="https://prostohome.github.io/ch26-razvedka-x7k2/img/ciff_543226.jpg" TargetMode="External" Id="rId96"/><Relationship Type="http://schemas.openxmlformats.org/officeDocument/2006/relationships/hyperlink" Target="https://prostohome.github.io/ch26-razvedka-x7k2/video/ciff_543441.mp4" TargetMode="External" Id="rId97"/><Relationship Type="http://schemas.openxmlformats.org/officeDocument/2006/relationships/hyperlink" Target="https://prostohome.github.io/ch26-razvedka-x7k2/img/ciff_543224.jpg" TargetMode="External" Id="rId98"/><Relationship Type="http://schemas.openxmlformats.org/officeDocument/2006/relationships/hyperlink" Target="https://www.tianjian-china.com" TargetMode="External" Id="rId99"/><Relationship Type="http://schemas.openxmlformats.org/officeDocument/2006/relationships/hyperlink" Target="https://prostohome.github.io/ch26-razvedka-x7k2/img/ciff_543227.jpg" TargetMode="External" Id="rId100"/><Relationship Type="http://schemas.openxmlformats.org/officeDocument/2006/relationships/hyperlink" Target="https://prostohome.github.io/ch26-razvedka-x7k2/video/ciff_543464.mp4" TargetMode="External" Id="rId101"/><Relationship Type="http://schemas.openxmlformats.org/officeDocument/2006/relationships/hyperlink" Target="https://prostohome.github.io/ch26-razvedka-x7k2/img/ciff_543258.jpg" TargetMode="External" Id="rId102"/><Relationship Type="http://schemas.openxmlformats.org/officeDocument/2006/relationships/hyperlink" Target="https://prostohome.github.io/ch26-razvedka-x7k2/img/ciff_543256.jpg" TargetMode="External" Id="rId103"/><Relationship Type="http://schemas.openxmlformats.org/officeDocument/2006/relationships/hyperlink" Target="https://prostohome.github.io/ch26-razvedka-x7k2/img/ciff_543250.jpg" TargetMode="External" Id="rId104"/><Relationship Type="http://schemas.openxmlformats.org/officeDocument/2006/relationships/hyperlink" Target="https://prostohome.github.io/ch26-razvedka-x7k2/img/ciff_543262.jpg" TargetMode="External" Id="rId105"/><Relationship Type="http://schemas.openxmlformats.org/officeDocument/2006/relationships/hyperlink" Target="https://prostohome.github.io/ch26-razvedka-x7k2/img/ciff_543280.jpg" TargetMode="External" Id="rId106"/><Relationship Type="http://schemas.openxmlformats.org/officeDocument/2006/relationships/hyperlink" Target="https://prostohome.github.io/ch26-razvedka-x7k2/img/ciff_543231.jpg" TargetMode="External" Id="rId107"/><Relationship Type="http://schemas.openxmlformats.org/officeDocument/2006/relationships/hyperlink" Target="https://prostohome.github.io/ch26-razvedka-x7k2/img/ciff_543228.jpg" TargetMode="External" Id="rId108"/><Relationship Type="http://schemas.openxmlformats.org/officeDocument/2006/relationships/hyperlink" Target="https://prostohome.github.io/ch26-razvedka-x7k2/img/ciff_543233.jpg" TargetMode="External" Id="rId109"/><Relationship Type="http://schemas.openxmlformats.org/officeDocument/2006/relationships/hyperlink" Target="https://prostohome.github.io/ch26-razvedka-x7k2/img/ciff_543234.jpg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28" customWidth="1" min="4" max="4"/>
    <col width="18" customWidth="1" min="5" max="5"/>
    <col width="40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5" customWidth="1" min="12" max="12"/>
    <col width="38" customWidth="1" min="13" max="13"/>
    <col width="34" customWidth="1" min="14" max="14"/>
    <col width="26" customWidth="1" min="15" max="15"/>
    <col width="38" customWidth="1" min="16" max="16"/>
    <col width="16" customWidth="1" min="17" max="17"/>
    <col width="16" customWidth="1" min="18" max="18"/>
  </cols>
  <sheetData>
    <row r="1">
      <c r="A1" s="1" t="inlineStr">
        <is>
          <t>Разведка Китай 2026 — Canton Fair и CIFF</t>
        </is>
      </c>
    </row>
    <row r="2">
      <c r="A2" s="2" t="inlineStr">
        <is>
          <t>Курс ₽/$</t>
        </is>
      </c>
      <c r="B2" s="3" t="n">
        <v>85</v>
      </c>
      <c r="C2" s="2" t="inlineStr">
        <is>
          <t>Доставка $/кг</t>
        </is>
      </c>
      <c r="D2" s="3" t="n">
        <v>2</v>
      </c>
      <c r="E2" s="4" t="inlineStr">
        <is>
          <t>← поменяйте жёлтые ячейки, цены в рублях пересчитаются сами. Вес вносите в колонку «Вес, кг».</t>
        </is>
      </c>
    </row>
    <row r="4" ht="34" customHeight="1">
      <c r="A4" s="5" t="inlineStr">
        <is>
          <t>№</t>
        </is>
      </c>
      <c r="B4" s="5" t="inlineStr">
        <is>
          <t>Выставка</t>
        </is>
      </c>
      <c r="C4" s="5" t="inlineStr">
        <is>
          <t>Категория</t>
        </is>
      </c>
      <c r="D4" s="5" t="inlineStr">
        <is>
          <t>Поставщик</t>
        </is>
      </c>
      <c r="E4" s="5" t="inlineStr">
        <is>
          <t>Зал / стенд</t>
        </is>
      </c>
      <c r="F4" s="5" t="inlineStr">
        <is>
          <t>Что продают</t>
        </is>
      </c>
      <c r="G4" s="5" t="inlineStr">
        <is>
          <t>Цена, $</t>
        </is>
      </c>
      <c r="H4" s="5" t="inlineStr">
        <is>
          <t>За что цена</t>
        </is>
      </c>
      <c r="I4" s="5" t="inlineStr">
        <is>
          <t>Вес 1 шт, кг</t>
        </is>
      </c>
      <c r="J4" s="5" t="inlineStr">
        <is>
          <t>Цена, ₽</t>
        </is>
      </c>
      <c r="K4" s="5" t="inlineStr">
        <is>
          <t>Доставка, ₽</t>
        </is>
      </c>
      <c r="L4" s="5" t="inlineStr">
        <is>
          <t>Себестоимость, ₽</t>
        </is>
      </c>
      <c r="M4" s="5" t="inlineStr">
        <is>
          <t>Условия (цена / MOQ)</t>
        </is>
      </c>
      <c r="N4" s="5" t="inlineStr">
        <is>
          <t>Контакты</t>
        </is>
      </c>
      <c r="O4" s="5" t="inlineStr">
        <is>
          <t>Сайт</t>
        </is>
      </c>
      <c r="P4" s="5" t="inlineStr">
        <is>
          <t>Мнение команды</t>
        </is>
      </c>
      <c r="Q4" s="5" t="inlineStr">
        <is>
          <t>Видео</t>
        </is>
      </c>
      <c r="R4" s="5" t="inlineStr">
        <is>
          <t>Фото</t>
        </is>
      </c>
    </row>
    <row r="5">
      <c r="A5" s="6" t="n">
        <v>1</v>
      </c>
      <c r="B5" s="7" t="inlineStr">
        <is>
          <t>Canton</t>
        </is>
      </c>
      <c r="C5" s="6" t="inlineStr">
        <is>
          <t>Стулья</t>
        </is>
      </c>
      <c r="D5" s="6" t="inlineStr">
        <is>
          <t>Название уточняется</t>
        </is>
      </c>
      <c r="E5" s="6" t="inlineStr">
        <is>
          <t>11.3A13-16 / B08-12</t>
        </is>
      </c>
      <c r="F5" s="6" t="inlineStr">
        <is>
          <t>Поворотные кресла (букле/бархат), обеденные и офисные стулья, раздвижные столы (один образец)</t>
        </is>
      </c>
      <c r="G5" s="8" t="n">
        <v>70</v>
      </c>
      <c r="H5" s="6" t="inlineStr">
        <is>
          <t>шт</t>
        </is>
      </c>
      <c r="I5" s="9" t="n"/>
      <c r="J5" s="10">
        <f>IF(G5="","",ROUND(G5*$B$2,0))</f>
        <v/>
      </c>
      <c r="K5" s="10">
        <f>IF(I5="","",ROUND(I5*$D$2*$B$2,0))</f>
        <v/>
      </c>
      <c r="L5" s="11">
        <f>IF(OR(G5="",I5=""),"",J5+K5)</f>
        <v/>
      </c>
      <c r="M5" s="6" t="inlineStr">
        <is>
          <t>Кресло поворотное 460 RMB (~$70), MOQ 50; упаковка 39 кг, 91*89*77</t>
        </is>
      </c>
      <c r="N5" s="6" t="inlineStr">
        <is>
          <t>WeChat: QR представителя AnyaVayn (в данных только QR)</t>
        </is>
      </c>
      <c r="O5" s="6" t="inlineStr"/>
      <c r="P5" s="6" t="inlineStr">
        <is>
          <t>Лиса: каталоги пришлют за ночь; раздвижные столы показан один образец</t>
        </is>
      </c>
      <c r="Q5" s="12" t="inlineStr">
        <is>
          <t>смотреть (2)</t>
        </is>
      </c>
      <c r="R5" s="12" t="inlineStr">
        <is>
          <t>фото (2)</t>
        </is>
      </c>
    </row>
    <row r="6">
      <c r="A6" s="6" t="n">
        <v>2</v>
      </c>
      <c r="B6" s="7" t="inlineStr">
        <is>
          <t>Canton</t>
        </is>
      </c>
      <c r="C6" s="6" t="inlineStr">
        <is>
          <t>Кресла и пуфы</t>
        </is>
      </c>
      <c r="D6" s="6" t="inlineStr">
        <is>
          <t>LIANFENG (联丰) / Anji Fuhe Furniture Co., Ltd</t>
        </is>
      </c>
      <c r="E6" s="6" t="inlineStr">
        <is>
          <t>11.3C10-11, B37-38</t>
        </is>
      </c>
      <c r="F6" s="6" t="inlineStr">
        <is>
          <t>Офисные сетчатые кресла, барные стулья, кресла с букле; книга образцов ткани</t>
        </is>
      </c>
      <c r="G6" s="8" t="n">
        <v>46</v>
      </c>
      <c r="H6" s="6" t="inlineStr">
        <is>
          <t>шт</t>
        </is>
      </c>
      <c r="I6" s="9" t="n"/>
      <c r="J6" s="10">
        <f>IF(G6="","",ROUND(G6*$B$2,0))</f>
        <v/>
      </c>
      <c r="K6" s="10">
        <f>IF(I6="","",ROUND(I6*$D$2*$B$2,0))</f>
        <v/>
      </c>
      <c r="L6" s="11">
        <f>IF(OR(G6="",I6=""),"",J6+K6)</f>
        <v/>
      </c>
      <c r="M6" s="6" t="inlineStr">
        <is>
          <t>Офисное кресло $46 / 252 RMB, MOQ 1 контейнер (~460 шт); коробка 62*57*32.5, 12 кг</t>
        </is>
      </c>
      <c r="N6" s="6" t="inlineStr">
        <is>
          <t>Shirley Liang (梁文静), shirley@lfjj.cn, T 0086-572-5607875, M 0086-13738227953, www.lfchairs.com; Fantan Industrial zone, Anji</t>
        </is>
      </c>
      <c r="O6" s="12" t="inlineStr">
        <is>
          <t>www.lfchairs.com (открывается, бренд 富和家具 Fuhe Furniture)</t>
        </is>
      </c>
      <c r="P6" s="6" t="inlineStr">
        <is>
          <t>Лиса: возможна кастомизация. Отдельного мнения нет в данных.</t>
        </is>
      </c>
      <c r="Q6" s="12" t="inlineStr">
        <is>
          <t>смотреть (1)</t>
        </is>
      </c>
      <c r="R6" s="12" t="inlineStr">
        <is>
          <t>фото (3)</t>
        </is>
      </c>
    </row>
    <row r="7">
      <c r="A7" s="6" t="n">
        <v>3</v>
      </c>
      <c r="B7" s="7" t="inlineStr">
        <is>
          <t>Canton</t>
        </is>
      </c>
      <c r="C7" s="6" t="inlineStr">
        <is>
          <t>Стулья</t>
        </is>
      </c>
      <c r="D7" s="6" t="inlineStr">
        <is>
          <t>Название уточняется</t>
        </is>
      </c>
      <c r="E7" s="6" t="inlineStr">
        <is>
          <t>11.3B25-26</t>
        </is>
      </c>
      <c r="F7" s="6" t="inlineStr">
        <is>
          <t>Металлический стул с тканью</t>
        </is>
      </c>
      <c r="G7" s="8" t="n">
        <v>3.75</v>
      </c>
      <c r="H7" s="6" t="inlineStr">
        <is>
          <t>шт</t>
        </is>
      </c>
      <c r="I7" s="9" t="n"/>
      <c r="J7" s="10">
        <f>IF(G7="","",ROUND(G7*$B$2,0))</f>
        <v/>
      </c>
      <c r="K7" s="10">
        <f>IF(I7="","",ROUND(I7*$D$2*$B$2,0))</f>
        <v/>
      </c>
      <c r="L7" s="11">
        <f>IF(OR(G7="",I7=""),"",J7+K7)</f>
        <v/>
      </c>
      <c r="M7" s="6" t="inlineStr">
        <is>
          <t>$3.75 / 26.8 RMB, MOQ 1000; 6 стульев в коробке</t>
        </is>
      </c>
      <c r="N7" s="6" t="inlineStr">
        <is>
          <t>не найдено</t>
        </is>
      </c>
      <c r="O7" s="6" t="inlineStr"/>
      <c r="P7" s="6" t="inlineStr">
        <is>
          <t>Лиса: самый дешёвый вариант в обходе</t>
        </is>
      </c>
      <c r="Q7" s="12" t="inlineStr">
        <is>
          <t>смотреть (2)</t>
        </is>
      </c>
      <c r="R7" s="6" t="n"/>
    </row>
    <row r="8">
      <c r="A8" s="6" t="n">
        <v>4</v>
      </c>
      <c r="B8" s="7" t="inlineStr">
        <is>
          <t>Canton</t>
        </is>
      </c>
      <c r="C8" s="6" t="inlineStr">
        <is>
          <t>Хранение</t>
        </is>
      </c>
      <c r="D8" s="6" t="inlineStr">
        <is>
          <t>Tenice (TENICE Home Storage Expert)</t>
        </is>
      </c>
      <c r="E8" s="6" t="inlineStr">
        <is>
          <t>стенд не указан</t>
        </is>
      </c>
      <c r="F8" s="6" t="inlineStr">
        <is>
          <t>Мебель для хранения (комоды, приставные столики), тканевые ящики - «под IKEA»</t>
        </is>
      </c>
      <c r="G8" s="8" t="n">
        <v>11.4</v>
      </c>
      <c r="H8" s="6" t="inlineStr">
        <is>
          <t>шт</t>
        </is>
      </c>
      <c r="I8" s="9" t="n"/>
      <c r="J8" s="10">
        <f>IF(G8="","",ROUND(G8*$B$2,0))</f>
        <v/>
      </c>
      <c r="K8" s="10">
        <f>IF(I8="","",ROUND(I8*$D$2*$B$2,0))</f>
        <v/>
      </c>
      <c r="L8" s="11">
        <f>IF(OR(G8="",I8=""),"",J8+K8)</f>
        <v/>
      </c>
      <c r="M8" s="6" t="inlineStr">
        <is>
          <t>$11.4 / 70 RMB (позиция не уточнена)</t>
        </is>
      </c>
      <c r="N8" s="6" t="inlineStr">
        <is>
          <t>ответственная: Lane; контакты в данных не найдены</t>
        </is>
      </c>
      <c r="O8" s="6" t="inlineStr"/>
      <c r="P8" s="6" t="inlineStr">
        <is>
          <t>Лиса: почти все такие стенды - торговые компании, не заводы</t>
        </is>
      </c>
      <c r="Q8" s="12" t="inlineStr">
        <is>
          <t>смотреть (2)</t>
        </is>
      </c>
      <c r="R8" s="12" t="inlineStr">
        <is>
          <t>фото (3)</t>
        </is>
      </c>
    </row>
    <row r="9">
      <c r="A9" s="6" t="n">
        <v>5</v>
      </c>
      <c r="B9" s="7" t="inlineStr">
        <is>
          <t>Canton</t>
        </is>
      </c>
      <c r="C9" s="6" t="inlineStr">
        <is>
          <t>Стулья</t>
        </is>
      </c>
      <c r="D9" s="6" t="inlineStr">
        <is>
          <t>Anji Yinafu Home Supplies / E-LIFE (安吉伊纳福)</t>
        </is>
      </c>
      <c r="E9" s="6" t="inlineStr">
        <is>
          <t>стенд не указан</t>
        </is>
      </c>
      <c r="F9" s="6" t="inlineStr">
        <is>
          <t>Обеденные стулья с круглой мягкой спинкой на металле</t>
        </is>
      </c>
      <c r="G9" s="8" t="n"/>
      <c r="H9" s="6" t="inlineStr">
        <is>
          <t>шт</t>
        </is>
      </c>
      <c r="I9" s="9" t="n"/>
      <c r="J9" s="10">
        <f>IF(G9="","",ROUND(G9*$B$2,0))</f>
        <v/>
      </c>
      <c r="K9" s="10">
        <f>IF(I9="","",ROUND(I9*$D$2*$B$2,0))</f>
        <v/>
      </c>
      <c r="L9" s="11">
        <f>IF(OR(G9="",I9=""),"",J9+K9)</f>
        <v/>
      </c>
      <c r="M9" s="6" t="inlineStr">
        <is>
          <t>в данных цен нет</t>
        </is>
      </c>
      <c r="N9" s="6" t="inlineStr">
        <is>
          <t>Bonnie Yang, 135 6727 3499, WhatsApp +86 182 6722 9231, sales05@mdchair.com</t>
        </is>
      </c>
      <c r="O9" s="6" t="inlineStr"/>
      <c r="P9" s="6" t="inlineStr">
        <is>
          <t>Лиса: данных нет</t>
        </is>
      </c>
      <c r="Q9" s="12" t="inlineStr">
        <is>
          <t>смотреть (1)</t>
        </is>
      </c>
      <c r="R9" s="12" t="inlineStr">
        <is>
          <t>фото (1)</t>
        </is>
      </c>
    </row>
    <row r="10">
      <c r="A10" s="6" t="n">
        <v>6</v>
      </c>
      <c r="B10" s="7" t="inlineStr">
        <is>
          <t>Canton</t>
        </is>
      </c>
      <c r="C10" s="6" t="inlineStr">
        <is>
          <t>Стулья</t>
        </is>
      </c>
      <c r="D10" s="6" t="inlineStr">
        <is>
          <t>Название уточняется</t>
        </is>
      </c>
      <c r="E10" s="6" t="inlineStr">
        <is>
          <t>не указан</t>
        </is>
      </c>
      <c r="F10" s="6" t="inlineStr">
        <is>
          <t>Кресло и стул</t>
        </is>
      </c>
      <c r="G10" s="8" t="n">
        <v>65</v>
      </c>
      <c r="H10" s="6" t="inlineStr">
        <is>
          <t>шт</t>
        </is>
      </c>
      <c r="I10" s="9" t="n"/>
      <c r="J10" s="10">
        <f>IF(G10="","",ROUND(G10*$B$2,0))</f>
        <v/>
      </c>
      <c r="K10" s="10">
        <f>IF(I10="","",ROUND(I10*$D$2*$B$2,0))</f>
        <v/>
      </c>
      <c r="L10" s="11">
        <f>IF(OR(G10="",I10=""),"",J10+K10)</f>
        <v/>
      </c>
      <c r="M10" s="6" t="inlineStr">
        <is>
          <t>Кресло $65 (MOQ 20), стул $25 (MOQ 50)</t>
        </is>
      </c>
      <c r="N10" s="6" t="inlineStr">
        <is>
          <t>не найдено</t>
        </is>
      </c>
      <c r="O10" s="6" t="inlineStr"/>
      <c r="P10" s="6" t="inlineStr">
        <is>
          <t>Артём: короткая котировка устно</t>
        </is>
      </c>
      <c r="Q10" s="12" t="inlineStr">
        <is>
          <t>смотреть (1)</t>
        </is>
      </c>
      <c r="R10" s="6" t="n"/>
    </row>
    <row r="11">
      <c r="A11" s="6" t="n">
        <v>7</v>
      </c>
      <c r="B11" s="7" t="inlineStr">
        <is>
          <t>Canton</t>
        </is>
      </c>
      <c r="C11" s="6" t="inlineStr">
        <is>
          <t>Хранение</t>
        </is>
      </c>
      <c r="D11" s="6" t="inlineStr">
        <is>
          <t>RAHATY HOME</t>
        </is>
      </c>
      <c r="E11" s="6" t="inlineStr">
        <is>
          <t>стенд не указан</t>
        </is>
      </c>
      <c r="F11" s="6" t="inlineStr">
        <is>
          <t>Металлические стеллажи (кремовые панели, плоская упаковка с пронумерованной фурнитурой)</t>
        </is>
      </c>
      <c r="G11" s="8" t="n"/>
      <c r="H11" s="6" t="inlineStr">
        <is>
          <t>шт</t>
        </is>
      </c>
      <c r="I11" s="9" t="n"/>
      <c r="J11" s="10">
        <f>IF(G11="","",ROUND(G11*$B$2,0))</f>
        <v/>
      </c>
      <c r="K11" s="10">
        <f>IF(I11="","",ROUND(I11*$D$2*$B$2,0))</f>
        <v/>
      </c>
      <c r="L11" s="11">
        <f>IF(OR(G11="",I11=""),"",J11+K11)</f>
        <v/>
      </c>
      <c r="M11" s="6" t="inlineStr">
        <is>
          <t>цен нет</t>
        </is>
      </c>
      <c r="N11" s="6" t="inlineStr">
        <is>
          <t>www.rahatystore.com (с упаковки)</t>
        </is>
      </c>
      <c r="O11" s="6" t="inlineStr"/>
      <c r="P11" s="6" t="inlineStr">
        <is>
          <t>Лиса: данных нет</t>
        </is>
      </c>
      <c r="Q11" s="6" t="n"/>
      <c r="R11" s="12" t="inlineStr">
        <is>
          <t>фото (3)</t>
        </is>
      </c>
    </row>
    <row r="12">
      <c r="A12" s="6" t="n">
        <v>8</v>
      </c>
      <c r="B12" s="7" t="inlineStr">
        <is>
          <t>Canton</t>
        </is>
      </c>
      <c r="C12" s="6" t="inlineStr">
        <is>
          <t>Хранение</t>
        </is>
      </c>
      <c r="D12" s="6" t="inlineStr">
        <is>
          <t>Luoyang Demei Furniture Manufacturing / WLS Metal Furniture</t>
        </is>
      </c>
      <c r="E12" s="6" t="inlineStr">
        <is>
          <t>11.3B20-21</t>
        </is>
      </c>
      <c r="F12" s="6" t="inlineStr">
        <is>
          <t>Стальные шкафы, жалюзийные гардеробы, стеллажи; лавки и диваны</t>
        </is>
      </c>
      <c r="G12" s="8" t="n">
        <v>40</v>
      </c>
      <c r="H12" s="6" t="inlineStr">
        <is>
          <t>шт</t>
        </is>
      </c>
      <c r="I12" s="9" t="n"/>
      <c r="J12" s="10">
        <f>IF(G12="","",ROUND(G12*$B$2,0))</f>
        <v/>
      </c>
      <c r="K12" s="10">
        <f>IF(I12="","",ROUND(I12*$D$2*$B$2,0))</f>
        <v/>
      </c>
      <c r="L12" s="11">
        <f>IF(OR(G12="",I12=""),"",J12+K12)</f>
        <v/>
      </c>
      <c r="M12" s="6" t="inlineStr">
        <is>
          <t>Лавки/диваны малые ~$40-70, большие ~$96, MOQ 50 на дизайн и цвет</t>
        </is>
      </c>
      <c r="N12" s="6" t="inlineStr">
        <is>
          <t>Emma Wu, +86 15936200831, WhatsApp +86 13592061517, emma@demeifurnituregroup.com, www.demeifurniture.com; сертификат BSCI</t>
        </is>
      </c>
      <c r="O12" s="12" t="inlineStr">
        <is>
          <t>http://www.demeifurniture.com</t>
        </is>
      </c>
      <c r="P12" s="6" t="inlineStr">
        <is>
          <t>Лиса: данных нет</t>
        </is>
      </c>
      <c r="Q12" s="12" t="inlineStr">
        <is>
          <t>смотреть (2)</t>
        </is>
      </c>
      <c r="R12" s="12" t="inlineStr">
        <is>
          <t>фото (2)</t>
        </is>
      </c>
    </row>
    <row r="13">
      <c r="A13" s="6" t="n">
        <v>9</v>
      </c>
      <c r="B13" s="7" t="inlineStr">
        <is>
          <t>Canton</t>
        </is>
      </c>
      <c r="C13" s="6" t="inlineStr">
        <is>
          <t>Стулья</t>
        </is>
      </c>
      <c r="D13" s="6" t="inlineStr">
        <is>
          <t>YOUNIKE / Anji Younike Furniture (优尼克)</t>
        </is>
      </c>
      <c r="E13" s="6" t="inlineStr">
        <is>
          <t>11.3A21-22</t>
        </is>
      </c>
      <c r="F13" s="6" t="inlineStr">
        <is>
          <t>Эконом-стулья, PP-стулья, барные стулья, кресла</t>
        </is>
      </c>
      <c r="G13" s="8" t="n">
        <v>14.5</v>
      </c>
      <c r="H13" s="6" t="inlineStr">
        <is>
          <t>шт</t>
        </is>
      </c>
      <c r="I13" s="9" t="n">
        <v>4.5</v>
      </c>
      <c r="J13" s="10">
        <f>IF(G13="","",ROUND(G13*$B$2,0))</f>
        <v/>
      </c>
      <c r="K13" s="10">
        <f>IF(I13="","",ROUND(I13*$D$2*$B$2,0))</f>
        <v/>
      </c>
      <c r="L13" s="11">
        <f>IF(OR(G13="",I13=""),"",J13+K13)</f>
        <v/>
      </c>
      <c r="M13" s="6" t="inlineStr">
        <is>
          <t>$14.5; коробка 65*49*57 (4 шт); 4.5 кг - вес одного стула (нетто, 640016); MOQ 1 контейнер (~1600 шт)</t>
        </is>
      </c>
      <c r="N13" s="6" t="inlineStr">
        <is>
          <t>helen@younikefurniture.com, www.younikefurniture.com; 2 Block Sunlight Industry Zone, Anji, Zhejiang</t>
        </is>
      </c>
      <c r="O13" s="12" t="inlineStr">
        <is>
          <t>www.younikefurniture.com — ВНИМАНИЕ: сайт является розничным магазином для США (free shipping, возвраты 30 дней), не завод; связь с Anji Younike не подтверждена</t>
        </is>
      </c>
      <c r="P13" s="6" t="inlineStr">
        <is>
          <t>Лиса: данных нет</t>
        </is>
      </c>
      <c r="Q13" s="12" t="inlineStr">
        <is>
          <t>смотреть (1)</t>
        </is>
      </c>
      <c r="R13" s="12" t="inlineStr">
        <is>
          <t>фото (2)</t>
        </is>
      </c>
    </row>
    <row r="14">
      <c r="A14" s="6" t="n">
        <v>10</v>
      </c>
      <c r="B14" s="7" t="inlineStr">
        <is>
          <t>Canton</t>
        </is>
      </c>
      <c r="C14" s="6" t="inlineStr">
        <is>
          <t>Стулья</t>
        </is>
      </c>
      <c r="D14" s="6" t="inlineStr">
        <is>
          <t>Название уточняется</t>
        </is>
      </c>
      <c r="E14" s="6" t="inlineStr">
        <is>
          <t>11.3D23-24</t>
        </is>
      </c>
      <c r="F14" s="6" t="inlineStr">
        <is>
          <t>Пластиковые стулья, лаунж-кресла, журнальные столы (артикулы OP-1801, OP-1699A/B)</t>
        </is>
      </c>
      <c r="G14" s="8" t="n">
        <v>13.4</v>
      </c>
      <c r="H14" s="6" t="inlineStr">
        <is>
          <t>шт</t>
        </is>
      </c>
      <c r="I14" s="9" t="n">
        <v>5.5</v>
      </c>
      <c r="J14" s="10">
        <f>IF(G14="","",ROUND(G14*$B$2,0))</f>
        <v/>
      </c>
      <c r="K14" s="10">
        <f>IF(I14="","",ROUND(I14*$D$2*$B$2,0))</f>
        <v/>
      </c>
      <c r="L14" s="11">
        <f>IF(OR(G14="",I14=""),"",J14+K14)</f>
        <v/>
      </c>
      <c r="M14" s="6" t="inlineStr">
        <is>
          <t>$13.4, MOQ 300; 4 шт в коробке 59*62*47, 22 кг</t>
        </is>
      </c>
      <c r="N14" s="6" t="inlineStr">
        <is>
          <t>WeChat QR на фото</t>
        </is>
      </c>
      <c r="O14" s="6" t="inlineStr"/>
      <c r="P14" s="6" t="inlineStr">
        <is>
          <t>Лиса: данных нет</t>
        </is>
      </c>
      <c r="Q14" s="12" t="inlineStr">
        <is>
          <t>смотреть (1)</t>
        </is>
      </c>
      <c r="R14" s="12" t="inlineStr">
        <is>
          <t>фото (2)</t>
        </is>
      </c>
    </row>
    <row r="15">
      <c r="A15" s="6" t="n">
        <v>11</v>
      </c>
      <c r="B15" s="7" t="inlineStr">
        <is>
          <t>Canton</t>
        </is>
      </c>
      <c r="C15" s="6" t="inlineStr">
        <is>
          <t>Кресла и пуфы</t>
        </is>
      </c>
      <c r="D15" s="6" t="inlineStr">
        <is>
          <t>LAINUO (莱诺) / Foshan Nanhai Lainuo Furniture Co., Ltd</t>
        </is>
      </c>
      <c r="E15" s="6" t="inlineStr">
        <is>
          <t>11.3B03-04</t>
        </is>
      </c>
      <c r="F15" s="6" t="inlineStr">
        <is>
          <t>Офисные сетчатые кресла; запчасти можно докупать</t>
        </is>
      </c>
      <c r="G15" s="8" t="n">
        <v>55</v>
      </c>
      <c r="H15" s="6" t="inlineStr">
        <is>
          <t>шт</t>
        </is>
      </c>
      <c r="I15" s="9" t="n">
        <v>10.2</v>
      </c>
      <c r="J15" s="10">
        <f>IF(G15="","",ROUND(G15*$B$2,0))</f>
        <v/>
      </c>
      <c r="K15" s="10">
        <f>IF(I15="","",ROUND(I15*$D$2*$B$2,0))</f>
        <v/>
      </c>
      <c r="L15" s="11">
        <f>IF(OR(G15="",I15=""),"",J15+K15)</f>
        <v/>
      </c>
      <c r="M15" s="6" t="inlineStr">
        <is>
          <t>$55 / 369 RMB, MOQ 30; коробка 71*32.5*65, 10.2 кг; кастом нейлон/пластик</t>
        </is>
      </c>
      <c r="N15" s="6" t="inlineStr">
        <is>
          <t>Amira Huang (Business Executive), sales13@lainuofurniture.com, www.lainuofurniture.com, +86 139 2860 2708; Sha Zui Industrial, Foshan</t>
        </is>
      </c>
      <c r="O15" s="12" t="inlineStr">
        <is>
          <t>http://www.lainuofurniture.com</t>
        </is>
      </c>
      <c r="P15" s="6" t="inlineStr">
        <is>
          <t>Лиса: завод в Фошане, можно приехать; запчасти можно перезаказать</t>
        </is>
      </c>
      <c r="Q15" s="12" t="inlineStr">
        <is>
          <t>смотреть (1)</t>
        </is>
      </c>
      <c r="R15" s="12" t="inlineStr">
        <is>
          <t>фото (3)</t>
        </is>
      </c>
    </row>
    <row r="16">
      <c r="A16" s="6" t="n">
        <v>12</v>
      </c>
      <c r="B16" s="7" t="inlineStr">
        <is>
          <t>Canton</t>
        </is>
      </c>
      <c r="C16" s="6" t="inlineStr">
        <is>
          <t>Стулья</t>
        </is>
      </c>
      <c r="D16" s="6" t="inlineStr">
        <is>
          <t>Название уточняется</t>
        </is>
      </c>
      <c r="E16" s="6" t="inlineStr">
        <is>
          <t>11.3E28</t>
        </is>
      </c>
      <c r="F16" s="6" t="inlineStr">
        <is>
          <t>Стулья</t>
        </is>
      </c>
      <c r="G16" s="8" t="n">
        <v>39.5</v>
      </c>
      <c r="H16" s="6" t="inlineStr">
        <is>
          <t>шт</t>
        </is>
      </c>
      <c r="I16" s="9" t="n"/>
      <c r="J16" s="10">
        <f>IF(G16="","",ROUND(G16*$B$2,0))</f>
        <v/>
      </c>
      <c r="K16" s="10">
        <f>IF(I16="","",ROUND(I16*$D$2*$B$2,0))</f>
        <v/>
      </c>
      <c r="L16" s="11">
        <f>IF(OR(G16="",I16=""),"",J16+K16)</f>
        <v/>
      </c>
      <c r="M16" s="6" t="inlineStr">
        <is>
          <t>$39.5, MOQ 100</t>
        </is>
      </c>
      <c r="N16" s="6" t="inlineStr">
        <is>
          <t>WeChat: wxid_ug9d53j0c7xr22</t>
        </is>
      </c>
      <c r="O16" s="6" t="inlineStr"/>
      <c r="P16" s="6" t="inlineStr">
        <is>
          <t>Лиса: данных нет</t>
        </is>
      </c>
      <c r="Q16" s="12" t="inlineStr">
        <is>
          <t>смотреть (1)</t>
        </is>
      </c>
      <c r="R16" s="12" t="inlineStr">
        <is>
          <t>фото (1)</t>
        </is>
      </c>
    </row>
    <row r="17">
      <c r="A17" s="6" t="n">
        <v>13</v>
      </c>
      <c r="B17" s="7" t="inlineStr">
        <is>
          <t>Canton</t>
        </is>
      </c>
      <c r="C17" s="6" t="inlineStr">
        <is>
          <t>Стулья</t>
        </is>
      </c>
      <c r="D17" s="6" t="inlineStr">
        <is>
          <t>ZHEJIANG ANJI HUIYE FURNITURE (HUIYE)</t>
        </is>
      </c>
      <c r="E17" s="6" t="inlineStr">
        <is>
          <t>11.3F35-36 / G12-13</t>
        </is>
      </c>
      <c r="F17" s="6" t="inlineStr">
        <is>
          <t>Стулья</t>
        </is>
      </c>
      <c r="G17" s="8" t="n">
        <v>34.5</v>
      </c>
      <c r="H17" s="6" t="inlineStr">
        <is>
          <t>шт</t>
        </is>
      </c>
      <c r="I17" s="9" t="n"/>
      <c r="J17" s="10">
        <f>IF(G17="","",ROUND(G17*$B$2,0))</f>
        <v/>
      </c>
      <c r="K17" s="10">
        <f>IF(I17="","",ROUND(I17*$D$2*$B$2,0))</f>
        <v/>
      </c>
      <c r="L17" s="11">
        <f>IF(OR(G17="",I17=""),"",J17+K17)</f>
        <v/>
      </c>
      <c r="M17" s="6" t="inlineStr">
        <is>
          <t>$34.5, MOQ 50; 76*61*46</t>
        </is>
      </c>
      <c r="N17" s="6" t="inlineStr">
        <is>
          <t>Carrie, sales06@hychair.com, +86-15067251663, http://www.hychair.com; Xiaoyuan village, Anji</t>
        </is>
      </c>
      <c r="O17" s="12" t="inlineStr">
        <is>
          <t>http://www.hychair.com</t>
        </is>
      </c>
      <c r="P17" s="6" t="inlineStr">
        <is>
          <t>Лиса: данных нет</t>
        </is>
      </c>
      <c r="Q17" s="12" t="inlineStr">
        <is>
          <t>смотреть (2)</t>
        </is>
      </c>
      <c r="R17" s="12" t="inlineStr">
        <is>
          <t>фото (1)</t>
        </is>
      </c>
    </row>
    <row r="18">
      <c r="A18" s="6" t="n">
        <v>14</v>
      </c>
      <c r="B18" s="7" t="inlineStr">
        <is>
          <t>Canton</t>
        </is>
      </c>
      <c r="C18" s="6" t="inlineStr">
        <is>
          <t>Стулья</t>
        </is>
      </c>
      <c r="D18" s="6" t="inlineStr">
        <is>
          <t>NANSHENG / ASWISH (艾诗贝尔) / FINLEY</t>
        </is>
      </c>
      <c r="E18" s="6" t="inlineStr">
        <is>
          <t>11.3H19-20</t>
        </is>
      </c>
      <c r="F18" s="6" t="inlineStr">
        <is>
          <t>Стулья</t>
        </is>
      </c>
      <c r="G18" s="8" t="n">
        <v>13</v>
      </c>
      <c r="H18" s="6" t="inlineStr">
        <is>
          <t>шт</t>
        </is>
      </c>
      <c r="I18" s="9" t="n"/>
      <c r="J18" s="10">
        <f>IF(G18="","",ROUND(G18*$B$2,0))</f>
        <v/>
      </c>
      <c r="K18" s="10">
        <f>IF(I18="","",ROUND(I18*$D$2*$B$2,0))</f>
        <v/>
      </c>
      <c r="L18" s="11">
        <f>IF(OR(G18="",I18=""),"",J18+K18)</f>
        <v/>
      </c>
      <c r="M18" s="6" t="inlineStr">
        <is>
          <t>$13-14, MOQ 100 (чёрный) / 180; $14 в коробке (824 шт/контейнер), $13 на тележке (1400 шт)</t>
        </is>
      </c>
      <c r="N18" s="6" t="inlineStr">
        <is>
          <t>WeChat QR, Instagram QR NANSHENGFURNIT...</t>
        </is>
      </c>
      <c r="O18" s="6" t="inlineStr"/>
      <c r="P18" s="6" t="inlineStr">
        <is>
          <t>Лиса: данных нет</t>
        </is>
      </c>
      <c r="Q18" s="12" t="inlineStr">
        <is>
          <t>смотреть (1)</t>
        </is>
      </c>
      <c r="R18" s="12" t="inlineStr">
        <is>
          <t>фото (1)</t>
        </is>
      </c>
    </row>
    <row r="19">
      <c r="A19" s="6" t="n">
        <v>15</v>
      </c>
      <c r="B19" s="7" t="inlineStr">
        <is>
          <t>Canton</t>
        </is>
      </c>
      <c r="C19" s="6" t="inlineStr">
        <is>
          <t>Столы</t>
        </is>
      </c>
      <c r="D19" s="6" t="inlineStr">
        <is>
          <t>Doova Furniture</t>
        </is>
      </c>
      <c r="E19" s="6" t="inlineStr">
        <is>
          <t>11.3H17-18</t>
        </is>
      </c>
      <c r="F19" s="6" t="inlineStr">
        <is>
          <t>Комплект: 2 стула + стол; садовый комплект</t>
        </is>
      </c>
      <c r="G19" s="8" t="n">
        <v>31</v>
      </c>
      <c r="H19" s="6" t="inlineStr">
        <is>
          <t>шт</t>
        </is>
      </c>
      <c r="I19" s="9" t="n"/>
      <c r="J19" s="10">
        <f>IF(G19="","",ROUND(G19*$B$2,0))</f>
        <v/>
      </c>
      <c r="K19" s="10">
        <f>IF(I19="","",ROUND(I19*$D$2*$B$2,0))</f>
        <v/>
      </c>
      <c r="L19" s="11">
        <f>IF(OR(G19="",I19=""),"",J19+K19)</f>
        <v/>
      </c>
      <c r="M19" s="6" t="inlineStr">
        <is>
          <t>$31 за комплект, MOQ 100</t>
        </is>
      </c>
      <c r="N19" s="6" t="inlineStr">
        <is>
          <t>Dreamy Huo, Sales Manager, dreamy@doova-furniture.com, 86-17736779052</t>
        </is>
      </c>
      <c r="O19" s="6" t="inlineStr"/>
      <c r="P19" s="6" t="inlineStr">
        <is>
          <t>Лиса: данных нет</t>
        </is>
      </c>
      <c r="Q19" s="6" t="n"/>
      <c r="R19" s="12" t="inlineStr">
        <is>
          <t>фото (3)</t>
        </is>
      </c>
    </row>
    <row r="20">
      <c r="A20" s="6" t="n">
        <v>16</v>
      </c>
      <c r="B20" s="7" t="inlineStr">
        <is>
          <t>Canton</t>
        </is>
      </c>
      <c r="C20" s="6" t="inlineStr">
        <is>
          <t>Комплектующие</t>
        </is>
      </c>
      <c r="D20" s="6" t="inlineStr">
        <is>
          <t>LEADAN / Shenzhen Sigmaforce</t>
        </is>
      </c>
      <c r="E20" s="6" t="inlineStr">
        <is>
          <t>11.3E16-17</t>
        </is>
      </c>
      <c r="F20" s="6" t="inlineStr">
        <is>
          <t>Колёса и запчасти для кресел; лабораторные и ESD стулья</t>
        </is>
      </c>
      <c r="G20" s="8" t="n">
        <v>0.8</v>
      </c>
      <c r="H20" s="6" t="inlineStr">
        <is>
          <t>шт</t>
        </is>
      </c>
      <c r="I20" s="9" t="n"/>
      <c r="J20" s="10">
        <f>IF(G20="","",ROUND(G20*$B$2,0))</f>
        <v/>
      </c>
      <c r="K20" s="10">
        <f>IF(I20="","",ROUND(I20*$D$2*$B$2,0))</f>
        <v/>
      </c>
      <c r="L20" s="11">
        <f>IF(OR(G20="",I20=""),"",J20+K20)</f>
        <v/>
      </c>
      <c r="M20" s="6" t="inlineStr">
        <is>
          <t>Колёса: 5 шт $0.8; $1.5; антистатические $3.7; MOQ уточнять в WeChat</t>
        </is>
      </c>
      <c r="N20" s="6" t="inlineStr">
        <is>
          <t>Queena Zhu, sales@sigmaforce.com.cn, WhatsApp +86 18688720790, Skype Queena605, www.leadan.com</t>
        </is>
      </c>
      <c r="O20" s="12" t="inlineStr">
        <is>
          <t>www.leadan.com (не открылся: ошибка сертификата)</t>
        </is>
      </c>
      <c r="P20" s="6" t="inlineStr">
        <is>
          <t>Лиса: данных нет</t>
        </is>
      </c>
      <c r="Q20" s="6" t="n"/>
      <c r="R20" s="12" t="inlineStr">
        <is>
          <t>фото (2)</t>
        </is>
      </c>
    </row>
    <row r="21">
      <c r="A21" s="6" t="n">
        <v>17</v>
      </c>
      <c r="B21" s="7" t="inlineStr">
        <is>
          <t>Canton</t>
        </is>
      </c>
      <c r="C21" s="6" t="inlineStr">
        <is>
          <t>Диваны</t>
        </is>
      </c>
      <c r="D21" s="6" t="inlineStr">
        <is>
          <t>Название уточняется</t>
        </is>
      </c>
      <c r="E21" s="6" t="inlineStr">
        <is>
          <t>11.3E25 (не подтверждён по фото)</t>
        </is>
      </c>
      <c r="F21" s="6" t="inlineStr">
        <is>
          <t>Диван-сундук с хранением</t>
        </is>
      </c>
      <c r="G21" s="8" t="n">
        <v>289</v>
      </c>
      <c r="H21" s="6" t="inlineStr">
        <is>
          <t>шт</t>
        </is>
      </c>
      <c r="I21" s="9" t="n"/>
      <c r="J21" s="10">
        <f>IF(G21="","",ROUND(G21*$B$2,0))</f>
        <v/>
      </c>
      <c r="K21" s="10">
        <f>IF(I21="","",ROUND(I21*$D$2*$B$2,0))</f>
        <v/>
      </c>
      <c r="L21" s="11">
        <f>IF(OR(G21="",I21=""),"",J21+K21)</f>
        <v/>
      </c>
      <c r="M21" s="6" t="inlineStr">
        <is>
          <t>$289, MOQ 49 ($800/$160 есть только в искажённой расшифровке 640112, к этому дивану не привязать)</t>
        </is>
      </c>
      <c r="N21" s="6" t="inlineStr">
        <is>
          <t>WeChat: wxid_42jwxcsg9u6z22</t>
        </is>
      </c>
      <c r="O21" s="6" t="inlineStr"/>
      <c r="P21" s="6" t="inlineStr">
        <is>
          <t>Лиса: данных нет</t>
        </is>
      </c>
      <c r="Q21" s="12" t="inlineStr">
        <is>
          <t>смотреть (3)</t>
        </is>
      </c>
      <c r="R21" s="6" t="n"/>
    </row>
    <row r="22">
      <c r="A22" s="6" t="n">
        <v>18</v>
      </c>
      <c r="B22" s="7" t="inlineStr">
        <is>
          <t>Canton</t>
        </is>
      </c>
      <c r="C22" s="6" t="inlineStr">
        <is>
          <t>Диваны</t>
        </is>
      </c>
      <c r="D22" s="6" t="inlineStr">
        <is>
          <t>JUNHAN FURNITURE GROUP / KIMHOME (金蒂雅居)</t>
        </is>
      </c>
      <c r="E22" s="6" t="inlineStr">
        <is>
          <t>стенд не указан (Фошань)</t>
        </is>
      </c>
      <c r="F22" s="6" t="inlineStr">
        <is>
          <t>Компрессионный диван</t>
        </is>
      </c>
      <c r="G22" s="8" t="n"/>
      <c r="H22" s="6" t="inlineStr">
        <is>
          <t>шт</t>
        </is>
      </c>
      <c r="I22" s="9" t="n"/>
      <c r="J22" s="10">
        <f>IF(G22="","",ROUND(G22*$B$2,0))</f>
        <v/>
      </c>
      <c r="K22" s="10">
        <f>IF(I22="","",ROUND(I22*$D$2*$B$2,0))</f>
        <v/>
      </c>
      <c r="L22" s="11">
        <f>IF(OR(G22="",I22=""),"",J22+K22)</f>
        <v/>
      </c>
      <c r="M22" s="6" t="inlineStr">
        <is>
          <t>MOQ 20; 0.25 CBM, 33*33*117, 43.1 кг; цена не названа</t>
        </is>
      </c>
      <c r="N22" s="6" t="inlineStr">
        <is>
          <t>Kit Liao (廖结玲), kitliao@fsjunhan.com, WeChat +8618022792007, WhatsApp +8613825581639, junhanfurniture.cn</t>
        </is>
      </c>
      <c r="O22" s="12" t="inlineStr">
        <is>
          <t>junhanfurniture.cn</t>
        </is>
      </c>
      <c r="P22" s="6" t="inlineStr">
        <is>
          <t>Лиса: компрессионные диваны среднего качества</t>
        </is>
      </c>
      <c r="Q22" s="12" t="inlineStr">
        <is>
          <t>смотреть (2)</t>
        </is>
      </c>
      <c r="R22" s="12" t="inlineStr">
        <is>
          <t>фото (1)</t>
        </is>
      </c>
    </row>
    <row r="23">
      <c r="A23" s="6" t="n">
        <v>19</v>
      </c>
      <c r="B23" s="7" t="inlineStr">
        <is>
          <t>Canton</t>
        </is>
      </c>
      <c r="C23" s="6" t="inlineStr">
        <is>
          <t>Стулья</t>
        </is>
      </c>
      <c r="D23" s="6" t="inlineStr">
        <is>
          <t>RELLY / Langfang Relly Technology Development (瑞利)</t>
        </is>
      </c>
      <c r="E23" s="6" t="inlineStr">
        <is>
          <t>11.3E47-48</t>
        </is>
      </c>
      <c r="F23" s="6" t="inlineStr">
        <is>
          <t>Стулья, барные стулья; ткани Skygrant / ote Fabric</t>
        </is>
      </c>
      <c r="G23" s="8" t="n">
        <v>27</v>
      </c>
      <c r="H23" s="6" t="inlineStr">
        <is>
          <t>шт</t>
        </is>
      </c>
      <c r="I23" s="9" t="n">
        <v>3.1</v>
      </c>
      <c r="J23" s="10">
        <f>IF(G23="","",ROUND(G23*$B$2,0))</f>
        <v/>
      </c>
      <c r="K23" s="10">
        <f>IF(I23="","",ROUND(I23*$D$2*$B$2,0))</f>
        <v/>
      </c>
      <c r="L23" s="11">
        <f>IF(OR(G23="",I23=""),"",J23+K23)</f>
        <v/>
      </c>
      <c r="M23" s="6" t="inlineStr">
        <is>
          <t>$27 / 180 RMB, MOQ 100; 2 шт в коробке 68*54*74, 6.25 кг</t>
        </is>
      </c>
      <c r="N23" s="6" t="inlineStr">
        <is>
          <t>Eric Liu, eric@saiya-furniture.com, +86 19041568408, www.ch-ruili.com, langfangruili.en.alibaba.com</t>
        </is>
      </c>
      <c r="O23" s="12" t="inlineStr">
        <is>
          <t>www.ch-ruili.com (не открылся); langfangruili.en.alibaba.com</t>
        </is>
      </c>
      <c r="P23" s="6" t="inlineStr">
        <is>
          <t>Лиса: завод около Пекина, визит возможен</t>
        </is>
      </c>
      <c r="Q23" s="12" t="inlineStr">
        <is>
          <t>смотреть (1)</t>
        </is>
      </c>
      <c r="R23" s="12" t="inlineStr">
        <is>
          <t>фото (3)</t>
        </is>
      </c>
    </row>
    <row r="24">
      <c r="A24" s="6" t="n">
        <v>20</v>
      </c>
      <c r="B24" s="7" t="inlineStr">
        <is>
          <t>Canton</t>
        </is>
      </c>
      <c r="C24" s="6" t="inlineStr">
        <is>
          <t>Хранение</t>
        </is>
      </c>
      <c r="D24" s="6" t="inlineStr">
        <is>
          <t>Biquan (Fujian) Group / Fuzhou Biquan Trading (碧泉)</t>
        </is>
      </c>
      <c r="E24" s="6" t="inlineStr">
        <is>
          <t>стенд не указан</t>
        </is>
      </c>
      <c r="F24" s="6" t="inlineStr">
        <is>
          <t>KD-мебель для хранения: обувницы, пуфы, комоды</t>
        </is>
      </c>
      <c r="G24" s="8" t="n">
        <v>28</v>
      </c>
      <c r="H24" s="6" t="inlineStr">
        <is>
          <t>шт</t>
        </is>
      </c>
      <c r="I24" s="9" t="n"/>
      <c r="J24" s="10">
        <f>IF(G24="","",ROUND(G24*$B$2,0))</f>
        <v/>
      </c>
      <c r="K24" s="10">
        <f>IF(I24="","",ROUND(I24*$D$2*$B$2,0))</f>
        <v/>
      </c>
      <c r="L24" s="11">
        <f>IF(OR(G24="",I24=""),"",J24+K24)</f>
        <v/>
      </c>
      <c r="M24" s="6" t="inlineStr">
        <is>
          <t>Обувница $28, MOQ 30 (108*45*13, 17 кг); пуф $10, MOQ 50</t>
        </is>
      </c>
      <c r="N24" s="6" t="inlineStr">
        <is>
          <t>Rosy Zheng, rosy@bikuan.com, http://www.bikuan.com</t>
        </is>
      </c>
      <c r="O24" s="6" t="inlineStr"/>
      <c r="P24" s="6" t="inlineStr">
        <is>
          <t>Лиса: данных нет</t>
        </is>
      </c>
      <c r="Q24" s="12" t="inlineStr">
        <is>
          <t>смотреть (3)</t>
        </is>
      </c>
      <c r="R24" s="12" t="inlineStr">
        <is>
          <t>фото (3)</t>
        </is>
      </c>
    </row>
    <row r="25">
      <c r="A25" s="6" t="n">
        <v>21</v>
      </c>
      <c r="B25" s="7" t="inlineStr">
        <is>
          <t>Canton</t>
        </is>
      </c>
      <c r="C25" s="6" t="inlineStr">
        <is>
          <t>Стулья</t>
        </is>
      </c>
      <c r="D25" s="6" t="inlineStr">
        <is>
          <t>Название уточняется</t>
        </is>
      </c>
      <c r="E25" s="6" t="inlineStr">
        <is>
          <t>стенд не указан</t>
        </is>
      </c>
      <c r="F25" s="6" t="inlineStr">
        <is>
          <t>Складные стулья, пластик, премиум из массива</t>
        </is>
      </c>
      <c r="G25" s="8" t="n">
        <v>46</v>
      </c>
      <c r="H25" s="6" t="inlineStr">
        <is>
          <t>шт</t>
        </is>
      </c>
      <c r="I25" s="9" t="n"/>
      <c r="J25" s="10">
        <f>IF(G25="","",ROUND(G25*$B$2,0))</f>
        <v/>
      </c>
      <c r="K25" s="10">
        <f>IF(I25="","",ROUND(I25*$D$2*$B$2,0))</f>
        <v/>
      </c>
      <c r="L25" s="11">
        <f>IF(OR(G25="",I25=""),"",J25+K25)</f>
        <v/>
      </c>
      <c r="M25" s="6" t="inlineStr">
        <is>
          <t>Складной зелёный $46, розовый $44; пластик $18 / 126 RMB; массив - сложно везти</t>
        </is>
      </c>
      <c r="N25" s="6" t="inlineStr">
        <is>
          <t>не найдено</t>
        </is>
      </c>
      <c r="O25" s="6" t="inlineStr"/>
      <c r="P25" s="6" t="inlineStr">
        <is>
          <t>Лиса: массив трудно доставлять</t>
        </is>
      </c>
      <c r="Q25" s="12" t="inlineStr">
        <is>
          <t>смотреть (2)</t>
        </is>
      </c>
      <c r="R25" s="12" t="inlineStr">
        <is>
          <t>фото (2)</t>
        </is>
      </c>
    </row>
    <row r="26">
      <c r="A26" s="6" t="n">
        <v>22</v>
      </c>
      <c r="B26" s="7" t="inlineStr">
        <is>
          <t>Canton</t>
        </is>
      </c>
      <c r="C26" s="6" t="inlineStr">
        <is>
          <t>Стулья</t>
        </is>
      </c>
      <c r="D26" s="6" t="inlineStr">
        <is>
          <t>Fangxin / FX Furniture (霸州芳鑫)</t>
        </is>
      </c>
      <c r="E26" s="6" t="inlineStr">
        <is>
          <t>11.3K42</t>
        </is>
      </c>
      <c r="F26" s="6" t="inlineStr">
        <is>
          <t>Складные стулья (металл, PU, пластик)</t>
        </is>
      </c>
      <c r="G26" s="8" t="n">
        <v>8</v>
      </c>
      <c r="H26" s="6" t="inlineStr">
        <is>
          <t>шт</t>
        </is>
      </c>
      <c r="I26" s="9" t="n">
        <v>4</v>
      </c>
      <c r="J26" s="10">
        <f>IF(G26="","",ROUND(G26*$B$2,0))</f>
        <v/>
      </c>
      <c r="K26" s="10">
        <f>IF(I26="","",ROUND(I26*$D$2*$B$2,0))</f>
        <v/>
      </c>
      <c r="L26" s="11">
        <f>IF(OR(G26="",I26=""),"",J26+K26)</f>
        <v/>
      </c>
      <c r="M26" s="6" t="inlineStr">
        <is>
          <t>Розовый $8, MOQ 600; 24 кг на 6 шт, CBM 0.1</t>
        </is>
      </c>
      <c r="N26" s="6" t="inlineStr">
        <is>
          <t>Jason Wang (General Manager), 18633615779@163.com, http://www.fangxinjj.com, mob 18633615779, tel 0316-7195501</t>
        </is>
      </c>
      <c r="O26" s="6" t="inlineStr"/>
      <c r="P26" s="6" t="inlineStr">
        <is>
          <t>Лиса: данных нет</t>
        </is>
      </c>
      <c r="Q26" s="6" t="n"/>
      <c r="R26" s="12" t="inlineStr">
        <is>
          <t>фото (3)</t>
        </is>
      </c>
    </row>
    <row r="27">
      <c r="A27" s="6" t="n">
        <v>23</v>
      </c>
      <c r="B27" s="7" t="inlineStr">
        <is>
          <t>Canton</t>
        </is>
      </c>
      <c r="C27" s="6" t="inlineStr">
        <is>
          <t>Стулья</t>
        </is>
      </c>
      <c r="D27" s="6" t="inlineStr">
        <is>
          <t>Langfang Yingni Trade (буклет 2026)</t>
        </is>
      </c>
      <c r="E27" s="6" t="inlineStr">
        <is>
          <t>стенд не указан</t>
        </is>
      </c>
      <c r="F27" s="6" t="inlineStr">
        <is>
          <t>Обеденные и пластиковые барные стулья</t>
        </is>
      </c>
      <c r="G27" s="8" t="n">
        <v>7</v>
      </c>
      <c r="H27" s="6" t="inlineStr">
        <is>
          <t>шт</t>
        </is>
      </c>
      <c r="I27" s="9" t="n"/>
      <c r="J27" s="10">
        <f>IF(G27="","",ROUND(G27*$B$2,0))</f>
        <v/>
      </c>
      <c r="K27" s="10">
        <f>IF(I27="","",ROUND(I27*$D$2*$B$2,0))</f>
        <v/>
      </c>
      <c r="L27" s="11">
        <f>IF(OR(G27="",I27=""),"",J27+K27)</f>
        <v/>
      </c>
      <c r="M27" s="6" t="inlineStr">
        <is>
          <t>Обеденный $7, барный пластик $9, MOQ 1 контейнер (~2700); цены на видео</t>
        </is>
      </c>
      <c r="N27" s="6" t="inlineStr">
        <is>
          <t>в данных не найдено</t>
        </is>
      </c>
      <c r="O27" s="6" t="inlineStr"/>
      <c r="P27" s="6" t="inlineStr">
        <is>
          <t>Лиса: данных нет</t>
        </is>
      </c>
      <c r="Q27" s="12" t="inlineStr">
        <is>
          <t>смотреть (1)</t>
        </is>
      </c>
      <c r="R27" s="12" t="inlineStr">
        <is>
          <t>фото (3)</t>
        </is>
      </c>
    </row>
    <row r="28">
      <c r="A28" s="6" t="n">
        <v>24</v>
      </c>
      <c r="B28" s="7" t="inlineStr">
        <is>
          <t>Canton</t>
        </is>
      </c>
      <c r="C28" s="6" t="inlineStr">
        <is>
          <t>Кресла и пуфы</t>
        </is>
      </c>
      <c r="D28" s="6" t="inlineStr">
        <is>
          <t>Название уточняется</t>
        </is>
      </c>
      <c r="E28" s="6" t="inlineStr">
        <is>
          <t>стенд не указан</t>
        </is>
      </c>
      <c r="F28" s="6" t="inlineStr">
        <is>
          <t>Банкетки и пуфы с ящиком</t>
        </is>
      </c>
      <c r="G28" s="8" t="n">
        <v>58</v>
      </c>
      <c r="H28" s="6" t="inlineStr">
        <is>
          <t>шт</t>
        </is>
      </c>
      <c r="I28" s="9" t="n">
        <v>12</v>
      </c>
      <c r="J28" s="10">
        <f>IF(G28="","",ROUND(G28*$B$2,0))</f>
        <v/>
      </c>
      <c r="K28" s="10">
        <f>IF(I28="","",ROUND(I28*$D$2*$B$2,0))</f>
        <v/>
      </c>
      <c r="L28" s="11">
        <f>IF(OR(G28="",I28=""),"",J28+K28)</f>
        <v/>
      </c>
      <c r="M28" s="6" t="inlineStr">
        <is>
          <t>$58 (100*46*35, 12 кг) / $19 (95*55*45, 4.5 кг), MOQ 50</t>
        </is>
      </c>
      <c r="N28" s="6" t="inlineStr">
        <is>
          <t>WeChat: Maggie</t>
        </is>
      </c>
      <c r="O28" s="6" t="inlineStr"/>
      <c r="P28" s="6" t="inlineStr">
        <is>
          <t>Лиса: данных нет</t>
        </is>
      </c>
      <c r="Q28" s="12" t="inlineStr">
        <is>
          <t>смотреть (1)</t>
        </is>
      </c>
      <c r="R28" s="12" t="inlineStr">
        <is>
          <t>фото (3)</t>
        </is>
      </c>
    </row>
    <row r="29">
      <c r="A29" s="6" t="n">
        <v>25</v>
      </c>
      <c r="B29" s="7" t="inlineStr">
        <is>
          <t>Canton</t>
        </is>
      </c>
      <c r="C29" s="6" t="inlineStr">
        <is>
          <t>Хранение</t>
        </is>
      </c>
      <c r="D29" s="6" t="inlineStr">
        <is>
          <t>Nutrend (Fujian Nutrend Furniture, 乐创)</t>
        </is>
      </c>
      <c r="E29" s="6" t="inlineStr">
        <is>
          <t>стенд не указан (зал Furniture)</t>
        </is>
      </c>
      <c r="F29" s="6" t="inlineStr">
        <is>
          <t>Тумбы и комоды KD (разборные), прикроватные тумбы; поставщик Walmart</t>
        </is>
      </c>
      <c r="G29" s="8" t="n">
        <v>22</v>
      </c>
      <c r="H29" s="6" t="inlineStr">
        <is>
          <t>шт</t>
        </is>
      </c>
      <c r="I29" s="9" t="n">
        <v>16.5</v>
      </c>
      <c r="J29" s="10">
        <f>IF(G29="","",ROUND(G29*$B$2,0))</f>
        <v/>
      </c>
      <c r="K29" s="10">
        <f>IF(I29="","",ROUND(I29*$D$2*$B$2,0))</f>
        <v/>
      </c>
      <c r="L29" s="11">
        <f>IF(OR(G29="",I29=""),"",J29+K29)</f>
        <v/>
      </c>
      <c r="M29" s="6" t="inlineStr">
        <is>
          <t>Комод $22 (64.5*52*17.5, 16.5 кг) и $40 (69*48*19, 20 кг), MOQ 100</t>
        </is>
      </c>
      <c r="N29" s="6" t="inlineStr">
        <is>
          <t>Fanny Lin (林枫), fanny@nutrendcn.com, www.nutrendcn.com, +86 180 6066 6365; WeChat Fanny, Boss; также 辉哥jack</t>
        </is>
      </c>
      <c r="O29" s="12" t="inlineStr">
        <is>
          <t>www.nutrendcn.com (не открылся: сертификат истёк)</t>
        </is>
      </c>
      <c r="P29" s="6" t="inlineStr">
        <is>
          <t>Лиса: данных нет</t>
        </is>
      </c>
      <c r="Q29" s="12" t="inlineStr">
        <is>
          <t>смотреть (1)</t>
        </is>
      </c>
      <c r="R29" s="12" t="inlineStr">
        <is>
          <t>фото (3)</t>
        </is>
      </c>
    </row>
    <row r="30">
      <c r="A30" s="6" t="n">
        <v>26</v>
      </c>
      <c r="B30" s="7" t="inlineStr">
        <is>
          <t>Canton</t>
        </is>
      </c>
      <c r="C30" s="6" t="inlineStr">
        <is>
          <t>Диваны</t>
        </is>
      </c>
      <c r="D30" s="6" t="inlineStr">
        <is>
          <t>Hongda / Zhuji Hongda Furniture (诸暨鸿达)</t>
        </is>
      </c>
      <c r="E30" s="6" t="inlineStr">
        <is>
          <t>стенд не указан</t>
        </is>
      </c>
      <c r="F30" s="6" t="inlineStr">
        <is>
          <t>Модульные диваны, кресла</t>
        </is>
      </c>
      <c r="G30" s="8" t="n">
        <v>360</v>
      </c>
      <c r="H30" s="6" t="inlineStr">
        <is>
          <t>шт</t>
        </is>
      </c>
      <c r="I30" s="9" t="n"/>
      <c r="J30" s="10">
        <f>IF(G30="","",ROUND(G30*$B$2,0))</f>
        <v/>
      </c>
      <c r="K30" s="10">
        <f>IF(I30="","",ROUND(I30*$D$2*$B$2,0))</f>
        <v/>
      </c>
      <c r="L30" s="11">
        <f>IF(OR(G30="",I30=""),"",J30+K30)</f>
        <v/>
      </c>
      <c r="M30" s="6" t="inlineStr">
        <is>
          <t>Диван whole-body $360 MOQ 20; модульный $325, контейнер 38</t>
        </is>
      </c>
      <c r="N30" s="6" t="inlineStr">
        <is>
          <t>Zhou Cong, alina@zjhdfurniture.net, www.zjhdfurniture.com, +86 18205753010</t>
        </is>
      </c>
      <c r="O30" s="12" t="inlineStr">
        <is>
          <t>www.zjhdfurniture.com</t>
        </is>
      </c>
      <c r="P30" s="6" t="inlineStr">
        <is>
          <t>Лиса: данных нет</t>
        </is>
      </c>
      <c r="Q30" s="12" t="inlineStr">
        <is>
          <t>смотреть (3)</t>
        </is>
      </c>
      <c r="R30" s="12" t="inlineStr">
        <is>
          <t>фото (2)</t>
        </is>
      </c>
    </row>
    <row r="31">
      <c r="A31" s="6" t="n">
        <v>27</v>
      </c>
      <c r="B31" s="7" t="inlineStr">
        <is>
          <t>Canton</t>
        </is>
      </c>
      <c r="C31" s="6" t="inlineStr">
        <is>
          <t>Диваны</t>
        </is>
      </c>
      <c r="D31" s="6" t="inlineStr">
        <is>
          <t>ARTDECO Shanghai (千兆)</t>
        </is>
      </c>
      <c r="E31" s="6" t="inlineStr">
        <is>
          <t>стенд не указан</t>
        </is>
      </c>
      <c r="F31" s="6" t="inlineStr">
        <is>
          <t>Компрессионный диван; детские диваны-зверюшки</t>
        </is>
      </c>
      <c r="G31" s="8" t="n">
        <v>115</v>
      </c>
      <c r="H31" s="6" t="inlineStr">
        <is>
          <t>шт</t>
        </is>
      </c>
      <c r="I31" s="9" t="n"/>
      <c r="J31" s="10">
        <f>IF(G31="","",ROUND(G31*$B$2,0))</f>
        <v/>
      </c>
      <c r="K31" s="10">
        <f>IF(I31="","",ROUND(I31*$D$2*$B$2,0))</f>
        <v/>
      </c>
      <c r="L31" s="11">
        <f>IF(OR(G31="",I31=""),"",J31+K31)</f>
        <v/>
      </c>
      <c r="M31" s="6" t="inlineStr">
        <is>
          <t>$115, 174 шт в контейнере</t>
        </is>
      </c>
      <c r="N31" s="6" t="inlineStr">
        <is>
          <t>Lisa Xu (徐霞), Ly2410@artdecosh.cn, www.artdecosh.com, +86 18721275839, тел +86 21 36162015</t>
        </is>
      </c>
      <c r="O31" s="6" t="inlineStr"/>
      <c r="P31" s="6" t="inlineStr">
        <is>
          <t>Лиса: компрессионные диваны низкого качества</t>
        </is>
      </c>
      <c r="Q31" s="12" t="inlineStr">
        <is>
          <t>смотреть (1)</t>
        </is>
      </c>
      <c r="R31" s="12" t="inlineStr">
        <is>
          <t>фото (2)</t>
        </is>
      </c>
    </row>
    <row r="32">
      <c r="A32" s="6" t="n">
        <v>28</v>
      </c>
      <c r="B32" s="7" t="inlineStr">
        <is>
          <t>Canton</t>
        </is>
      </c>
      <c r="C32" s="6" t="inlineStr">
        <is>
          <t>Столы</t>
        </is>
      </c>
      <c r="D32" s="6" t="inlineStr">
        <is>
          <t>Название уточняется</t>
        </is>
      </c>
      <c r="E32" s="6" t="inlineStr">
        <is>
          <t>стенд не указан</t>
        </is>
      </c>
      <c r="F32" s="6" t="inlineStr">
        <is>
          <t>Столы на одной ножке, бамбуковая мебель, белая МДФ</t>
        </is>
      </c>
      <c r="G32" s="8" t="n">
        <v>45</v>
      </c>
      <c r="H32" s="6" t="inlineStr">
        <is>
          <t>шт</t>
        </is>
      </c>
      <c r="I32" s="9" t="n">
        <v>28</v>
      </c>
      <c r="J32" s="10">
        <f>IF(G32="","",ROUND(G32*$B$2,0))</f>
        <v/>
      </c>
      <c r="K32" s="10">
        <f>IF(I32="","",ROUND(I32*$D$2*$B$2,0))</f>
        <v/>
      </c>
      <c r="L32" s="11">
        <f>IF(OR(G32="",I32=""),"",J32+K32)</f>
        <v/>
      </c>
      <c r="M32" s="6" t="inlineStr">
        <is>
          <t>$45, MOQ 100; 101*51*17, 28 кг</t>
        </is>
      </c>
      <c r="N32" s="6" t="inlineStr">
        <is>
          <t>не найдено</t>
        </is>
      </c>
      <c r="O32" s="6" t="inlineStr"/>
      <c r="P32" s="6" t="inlineStr">
        <is>
          <t>Лиса: данных нет</t>
        </is>
      </c>
      <c r="Q32" s="12" t="inlineStr">
        <is>
          <t>смотреть (2)</t>
        </is>
      </c>
      <c r="R32" s="12" t="inlineStr">
        <is>
          <t>фото (2)</t>
        </is>
      </c>
    </row>
    <row r="33">
      <c r="A33" s="6" t="n">
        <v>29</v>
      </c>
      <c r="B33" s="7" t="inlineStr">
        <is>
          <t>Canton</t>
        </is>
      </c>
      <c r="C33" s="6" t="inlineStr">
        <is>
          <t>Плёнки и фольга</t>
        </is>
      </c>
      <c r="D33" s="6" t="inlineStr">
        <is>
          <t>MANLEE (Kayla, Heyuan) - ПВХ-плёнка для МДФ и металлические плёнки</t>
        </is>
      </c>
      <c r="E33" s="6" t="inlineStr">
        <is>
          <t>13.1 (не подтверждён по фото)</t>
        </is>
      </c>
      <c r="F33" s="6" t="inlineStr">
        <is>
          <t>ПВХ-плёнка для МДФ; плёнки под брашированный металл</t>
        </is>
      </c>
      <c r="G33" s="8" t="n"/>
      <c r="H33" s="6" t="inlineStr">
        <is>
          <t>шт</t>
        </is>
      </c>
      <c r="I33" s="9" t="n"/>
      <c r="J33" s="10">
        <f>IF(G33="","",ROUND(G33*$B$2,0))</f>
        <v/>
      </c>
      <c r="K33" s="10">
        <f>IF(I33="","",ROUND(I33*$D$2*$B$2,0))</f>
        <v/>
      </c>
      <c r="L33" s="11">
        <f>IF(OR(G33="",I33=""),"",J33+K33)</f>
        <v/>
      </c>
      <c r="M33" s="6" t="inlineStr">
        <is>
          <t>Рулон 500 м, 70.6 за м (вероятно RMB, в источнике валюта не названа), мин. 1 рулон; кастом от 3000 м; без клея</t>
        </is>
      </c>
      <c r="N33" s="6" t="inlineStr">
        <is>
          <t>WeChat Kayla (Heyuan), QR на фото</t>
        </is>
      </c>
      <c r="O33" s="12" t="inlineStr">
        <is>
          <t>https://www.manleepetg.com/</t>
        </is>
      </c>
      <c r="P33" s="6" t="inlineStr">
        <is>
          <t>Лиса: плёнка подходит и для металла</t>
        </is>
      </c>
      <c r="Q33" s="12" t="inlineStr">
        <is>
          <t>смотреть (1)</t>
        </is>
      </c>
      <c r="R33" s="12" t="inlineStr">
        <is>
          <t>фото (1)</t>
        </is>
      </c>
    </row>
    <row r="34">
      <c r="A34" s="6" t="n">
        <v>30</v>
      </c>
      <c r="B34" s="7" t="inlineStr">
        <is>
          <t>Canton</t>
        </is>
      </c>
      <c r="C34" s="6" t="inlineStr">
        <is>
          <t>Плёнки и фольга</t>
        </is>
      </c>
      <c r="D34" s="6" t="inlineStr">
        <is>
          <t>YAKCO (亚格) - декоративные панели / шпон-плёнка</t>
        </is>
      </c>
      <c r="E34" s="6" t="inlineStr">
        <is>
          <t>13.1 (не подтверждён по фото)</t>
        </is>
      </c>
      <c r="F34" s="6" t="inlineStr">
        <is>
          <t>Декоративные панели 1.2*2.7 м, текстурные 3D</t>
        </is>
      </c>
      <c r="G34" s="8" t="n">
        <v>36</v>
      </c>
      <c r="H34" s="6" t="inlineStr">
        <is>
          <t>за лист</t>
        </is>
      </c>
      <c r="I34" s="9" t="n"/>
      <c r="J34" s="10">
        <f>IF(G34="","",ROUND(G34*$B$2,0))</f>
        <v/>
      </c>
      <c r="K34" s="10">
        <f>IF(I34="","",ROUND(I34*$D$2*$B$2,0))</f>
        <v/>
      </c>
      <c r="L34" s="11">
        <f>IF(OR(G34="",I34=""),"",J34+K34)</f>
        <v/>
      </c>
      <c r="M34" s="6" t="inlineStr">
        <is>
          <t>$36 за лист (~$10/м2), MOQ 35 листов</t>
        </is>
      </c>
      <c r="N34" s="6" t="inlineStr">
        <is>
          <t>WeChat Nora (Suzhou), код KT24099-5</t>
        </is>
      </c>
      <c r="O34" s="6" t="inlineStr"/>
      <c r="P34" s="6" t="inlineStr">
        <is>
          <t>Лиса: данных нет</t>
        </is>
      </c>
      <c r="Q34" s="12" t="inlineStr">
        <is>
          <t>смотреть (1)</t>
        </is>
      </c>
      <c r="R34" s="12" t="inlineStr">
        <is>
          <t>фото (3)</t>
        </is>
      </c>
    </row>
    <row r="35">
      <c r="A35" s="6" t="n">
        <v>31</v>
      </c>
      <c r="B35" s="7" t="inlineStr">
        <is>
          <t>Canton</t>
        </is>
      </c>
      <c r="C35" s="6" t="inlineStr">
        <is>
          <t>Плёнки и фольга</t>
        </is>
      </c>
      <c r="D35" s="6" t="inlineStr">
        <is>
          <t>Zhejiang Wuxin Technology / WUXIN PRINTING (五鑫转印) - ГОРЯЧЕЕ ТИСНЕНИЕ</t>
        </is>
      </c>
      <c r="E35" s="6" t="inlineStr">
        <is>
          <t>13.2L19</t>
        </is>
      </c>
      <c r="F35" s="6" t="inlineStr">
        <is>
          <t>HOT STAMPING FOIL (переводная плёнка под дерево) для металла, пластика, МДФ</t>
        </is>
      </c>
      <c r="G35" s="8" t="n">
        <v>409</v>
      </c>
      <c r="H35" s="6" t="inlineStr">
        <is>
          <t>рулон 500 м</t>
        </is>
      </c>
      <c r="I35" s="9" t="n"/>
      <c r="J35" s="10">
        <f>IF(G35="","",ROUND(G35*$B$2,0))</f>
        <v/>
      </c>
      <c r="K35" s="10">
        <f>IF(I35="","",ROUND(I35*$D$2*$B$2,0))</f>
        <v/>
      </c>
      <c r="L35" s="11">
        <f>IF(OR(G35="",I35=""),"",J35+K35)</f>
        <v/>
      </c>
      <c r="M35" s="6" t="inlineStr">
        <is>
          <t>Рулон 500 м*64 см = 2720 RMB / $409; 128 см = 5440 RMB / $820; MOQ 2000 м</t>
        </is>
      </c>
      <c r="N35" s="6" t="inlineStr">
        <is>
          <t>Amanda Zhang, wuxin@wuxinprint.com, www.wuxintransfer.com, +86 189 6601 6881 (Yiwu); WeChat Amanda-WuXinFoil</t>
        </is>
      </c>
      <c r="O35" s="12" t="inlineStr">
        <is>
          <t>http://www.wuxintransfer.com</t>
        </is>
      </c>
      <c r="P35" s="6" t="inlineStr">
        <is>
          <t>Лиса: один из крупнейших производителей в Китае</t>
        </is>
      </c>
      <c r="Q35" s="12" t="inlineStr">
        <is>
          <t>смотреть (4)</t>
        </is>
      </c>
      <c r="R35" s="12" t="inlineStr">
        <is>
          <t>фото (3)</t>
        </is>
      </c>
    </row>
    <row r="36">
      <c r="A36" s="6" t="n">
        <v>32</v>
      </c>
      <c r="B36" s="7" t="inlineStr">
        <is>
          <t>Canton</t>
        </is>
      </c>
      <c r="C36" s="6" t="inlineStr">
        <is>
          <t>Плёнки и фольга</t>
        </is>
      </c>
      <c r="D36" s="6" t="inlineStr">
        <is>
          <t>Nanya Kyowa Plastics (Nantong) (南亚共和塑胶)</t>
        </is>
      </c>
      <c r="E36" s="6" t="inlineStr">
        <is>
          <t>13.2K25 (рядом Jiangsu Zhengkang K24)</t>
        </is>
      </c>
      <c r="F36" s="6" t="inlineStr">
        <is>
          <t>Плёнка-стикер, ПВХ-плёнка/синт. кожа для МДФ</t>
        </is>
      </c>
      <c r="G36" s="8" t="n">
        <v>7</v>
      </c>
      <c r="H36" s="6" t="inlineStr">
        <is>
          <t>за метр</t>
        </is>
      </c>
      <c r="I36" s="9" t="n"/>
      <c r="J36" s="10">
        <f>IF(G36="","",ROUND(G36*$B$2,0))</f>
        <v/>
      </c>
      <c r="K36" s="10">
        <f>IF(I36="","",ROUND(I36*$D$2*$B$2,0))</f>
        <v/>
      </c>
      <c r="L36" s="11">
        <f>IF(OR(G36="",I36=""),"",J36+K36)</f>
        <v/>
      </c>
      <c r="M36" s="6" t="inlineStr">
        <is>
          <t>Рулон 50 м*1.24 м: $7/м; от 1500 м $2.5/м; бесплатный образец при оплате доставки</t>
        </is>
      </c>
      <c r="N36" s="6" t="inlineStr">
        <is>
          <t>WeChat Eileen50892 (Nantong; на фото визитка «刘Eileen (Nanya Group)»)</t>
        </is>
      </c>
      <c r="O36" s="6" t="inlineStr"/>
      <c r="P36" s="6" t="inlineStr">
        <is>
          <t>Лиса: данных нет</t>
        </is>
      </c>
      <c r="Q36" s="12" t="inlineStr">
        <is>
          <t>смотреть (2)</t>
        </is>
      </c>
      <c r="R36" s="12" t="inlineStr">
        <is>
          <t>фото (3)</t>
        </is>
      </c>
    </row>
    <row r="37">
      <c r="A37" s="6" t="n">
        <v>33</v>
      </c>
      <c r="B37" s="7" t="inlineStr">
        <is>
          <t>Canton</t>
        </is>
      </c>
      <c r="C37" s="6" t="inlineStr">
        <is>
          <t>Камень и декор</t>
        </is>
      </c>
      <c r="D37" s="6" t="inlineStr">
        <is>
          <t>Гибкий камень (Flexible Stone), шоурум Фошань</t>
        </is>
      </c>
      <c r="E37" s="6" t="inlineStr">
        <is>
          <t>стенд Flexible Stone (13.2)</t>
        </is>
      </c>
      <c r="F37" s="6" t="inlineStr">
        <is>
          <t>Гибкий камень, травертин, рифлёный</t>
        </is>
      </c>
      <c r="G37" s="8" t="n">
        <v>17</v>
      </c>
      <c r="H37" s="6" t="inlineStr">
        <is>
          <t>за м²</t>
        </is>
      </c>
      <c r="I37" s="9" t="n"/>
      <c r="J37" s="10">
        <f>IF(G37="","",ROUND(G37*$B$2,0))</f>
        <v/>
      </c>
      <c r="K37" s="10">
        <f>IF(I37="","",ROUND(I37*$D$2*$B$2,0))</f>
        <v/>
      </c>
      <c r="L37" s="11">
        <f>IF(OR(G37="",I37=""),"",J37+K37)</f>
        <v/>
      </c>
      <c r="M37" s="6" t="inlineStr">
        <is>
          <t>$17/м2 (1200*600), MOQ 100 м2; кастом $300/м2</t>
        </is>
      </c>
      <c r="N37" s="6" t="inlineStr">
        <is>
          <t>в данных не найдено (WeChat Фошань)</t>
        </is>
      </c>
      <c r="O37" s="6" t="inlineStr"/>
      <c r="P37" s="6" t="inlineStr">
        <is>
          <t>Лиса: шоурум в Фошане</t>
        </is>
      </c>
      <c r="Q37" s="12" t="inlineStr">
        <is>
          <t>смотреть (1)</t>
        </is>
      </c>
      <c r="R37" s="12" t="inlineStr">
        <is>
          <t>фото (1)</t>
        </is>
      </c>
    </row>
    <row r="38">
      <c r="A38" s="6" t="n">
        <v>34</v>
      </c>
      <c r="B38" s="7" t="inlineStr">
        <is>
          <t>Canton</t>
        </is>
      </c>
      <c r="C38" s="6" t="inlineStr">
        <is>
          <t>Камень и декор</t>
        </is>
      </c>
      <c r="D38" s="6" t="inlineStr">
        <is>
          <t>Foshan Sincere Building Materials (迅亚)</t>
        </is>
      </c>
      <c r="E38" s="6" t="inlineStr">
        <is>
          <t>13.2H36-37 / I11-12</t>
        </is>
      </c>
      <c r="F38" s="6" t="inlineStr">
        <is>
          <t>Гибкий камень 60*120, плитка, WPC панели</t>
        </is>
      </c>
      <c r="G38" s="8" t="n">
        <v>6</v>
      </c>
      <c r="H38" s="6" t="inlineStr">
        <is>
          <t>шт</t>
        </is>
      </c>
      <c r="I38" s="9" t="n"/>
      <c r="J38" s="10">
        <f>IF(G38="","",ROUND(G38*$B$2,0))</f>
        <v/>
      </c>
      <c r="K38" s="10">
        <f>IF(I38="","",ROUND(I38*$D$2*$B$2,0))</f>
        <v/>
      </c>
      <c r="L38" s="11">
        <f>IF(OR(G38="",I38=""),"",J38+K38)</f>
        <v/>
      </c>
      <c r="M38" s="6" t="inlineStr">
        <is>
          <t>Гибкий камень $6-16</t>
        </is>
      </c>
      <c r="N38" s="6" t="inlineStr">
        <is>
          <t>Miki, WeChat (Фошань)</t>
        </is>
      </c>
      <c r="O38" s="6" t="inlineStr"/>
      <c r="P38" s="6" t="inlineStr">
        <is>
          <t>Лиса: данных нет</t>
        </is>
      </c>
      <c r="Q38" s="6" t="n"/>
      <c r="R38" s="12" t="inlineStr">
        <is>
          <t>фото (1)</t>
        </is>
      </c>
    </row>
    <row r="39">
      <c r="A39" s="6" t="n">
        <v>35</v>
      </c>
      <c r="B39" s="7" t="inlineStr">
        <is>
          <t>Canton</t>
        </is>
      </c>
      <c r="C39" s="6" t="inlineStr">
        <is>
          <t>Плёнки и фольга</t>
        </is>
      </c>
      <c r="D39" s="6" t="inlineStr">
        <is>
          <t>Suzhou Long-Term Digital (сублимационная бумага)</t>
        </is>
      </c>
      <c r="E39" s="6" t="inlineStr">
        <is>
          <t>16.3C24-25 (фаза 3)</t>
        </is>
      </c>
      <c r="F39" s="6" t="inlineStr">
        <is>
          <t>Сублимационная бумага для термопереноса</t>
        </is>
      </c>
      <c r="G39" s="8" t="n"/>
      <c r="H39" s="6" t="inlineStr">
        <is>
          <t>шт</t>
        </is>
      </c>
      <c r="I39" s="9" t="n"/>
      <c r="J39" s="10">
        <f>IF(G39="","",ROUND(G39*$B$2,0))</f>
        <v/>
      </c>
      <c r="K39" s="10">
        <f>IF(I39="","",ROUND(I39*$D$2*$B$2,0))</f>
        <v/>
      </c>
      <c r="L39" s="11">
        <f>IF(OR(G39="",I39=""),"",J39+K39)</f>
        <v/>
      </c>
      <c r="M39" s="6" t="inlineStr">
        <is>
          <t>в данных цен нет</t>
        </is>
      </c>
      <c r="N39" s="6" t="inlineStr">
        <is>
          <t>www.suzhoulongterm.com</t>
        </is>
      </c>
      <c r="O39" s="12" t="inlineStr">
        <is>
          <t>http://www.suzhoulongterm.com</t>
        </is>
      </c>
      <c r="P39" s="6" t="inlineStr">
        <is>
          <t>Лиса: данных нет</t>
        </is>
      </c>
      <c r="Q39" s="6" t="n"/>
      <c r="R39" s="12" t="inlineStr">
        <is>
          <t>фото (1)</t>
        </is>
      </c>
    </row>
    <row r="40">
      <c r="A40" s="6" t="n">
        <v>36</v>
      </c>
      <c r="B40" s="7" t="inlineStr">
        <is>
          <t>Canton</t>
        </is>
      </c>
      <c r="C40" s="6" t="inlineStr">
        <is>
          <t>Ткани</t>
        </is>
      </c>
      <c r="D40" s="6" t="inlineStr">
        <is>
          <t>Ткани для мебели: скриншоты приложения (фаза 3)</t>
        </is>
      </c>
      <c r="E40" s="6" t="inlineStr">
        <is>
          <t>приложение выставки</t>
        </is>
      </c>
      <c r="F40" s="6" t="inlineStr">
        <is>
          <t>Ткани для обивки, жаккард, велюр (HANGZHOU YUHA... и др.)</t>
        </is>
      </c>
      <c r="G40" s="8" t="n"/>
      <c r="H40" s="6" t="inlineStr">
        <is>
          <t>шт</t>
        </is>
      </c>
      <c r="I40" s="9" t="n"/>
      <c r="J40" s="10">
        <f>IF(G40="","",ROUND(G40*$B$2,0))</f>
        <v/>
      </c>
      <c r="K40" s="10">
        <f>IF(I40="","",ROUND(I40*$D$2*$B$2,0))</f>
        <v/>
      </c>
      <c r="L40" s="11">
        <f>IF(OR(G40="",I40=""),"",J40+K40)</f>
        <v/>
      </c>
      <c r="M40" s="6" t="inlineStr">
        <is>
          <t>цен нет</t>
        </is>
      </c>
      <c r="N40" s="6" t="inlineStr">
        <is>
          <t>нет</t>
        </is>
      </c>
      <c r="O40" s="6" t="inlineStr"/>
      <c r="P40" s="6" t="inlineStr">
        <is>
          <t>Лиса: фаза 3 идёт 31.10-4.11</t>
        </is>
      </c>
      <c r="Q40" s="6" t="n"/>
      <c r="R40" s="12" t="inlineStr">
        <is>
          <t>фото (3)</t>
        </is>
      </c>
    </row>
    <row r="41">
      <c r="A41" s="6" t="n">
        <v>37</v>
      </c>
      <c r="B41" s="13" t="inlineStr">
        <is>
          <t>CIFF</t>
        </is>
      </c>
      <c r="C41" s="6" t="inlineStr">
        <is>
          <t>Стулья</t>
        </is>
      </c>
      <c r="D41" s="6" t="inlineStr">
        <is>
          <t>Flyer Furniture (FLYER, Sedex)</t>
        </is>
      </c>
      <c r="E41" s="6" t="inlineStr">
        <is>
          <t>стенд не указан</t>
        </is>
      </c>
      <c r="F41" s="6" t="inlineStr">
        <is>
          <t>Раздвижные и цементные столы, поворотные кресла, стулья</t>
        </is>
      </c>
      <c r="G41" s="8" t="n"/>
      <c r="H41" s="6" t="inlineStr">
        <is>
          <t>шт</t>
        </is>
      </c>
      <c r="I41" s="9" t="n"/>
      <c r="J41" s="10">
        <f>IF(G41="","",ROUND(G41*$B$2,0))</f>
        <v/>
      </c>
      <c r="K41" s="10">
        <f>IF(I41="","",ROUND(I41*$D$2*$B$2,0))</f>
        <v/>
      </c>
      <c r="L41" s="11">
        <f>IF(OR(G41="",I41=""),"",J41+K41)</f>
        <v/>
      </c>
      <c r="M41" s="6" t="inlineStr">
        <is>
          <t>цен нет — запросить</t>
        </is>
      </c>
      <c r="N41" s="6" t="inlineStr">
        <is>
          <t>Kiki, kiki@flyerfurnituregroup.com (Тяньцзинь)</t>
        </is>
      </c>
      <c r="O41" s="6" t="inlineStr"/>
      <c r="P41" s="6" t="inlineStr">
        <is>
          <t>Олег: мебель интересная, на болтах, собирается и разбирается; сидеть удобно. Пришлют каталог и упаковку на почту.</t>
        </is>
      </c>
      <c r="Q41" s="12" t="inlineStr">
        <is>
          <t>смотреть (1)</t>
        </is>
      </c>
      <c r="R41" s="12" t="inlineStr">
        <is>
          <t>фото (1)</t>
        </is>
      </c>
    </row>
    <row r="42">
      <c r="A42" s="6" t="n">
        <v>38</v>
      </c>
      <c r="B42" s="13" t="inlineStr">
        <is>
          <t>CIFF</t>
        </is>
      </c>
      <c r="C42" s="6" t="inlineStr">
        <is>
          <t>Столы</t>
        </is>
      </c>
      <c r="D42" s="6" t="inlineStr">
        <is>
          <t>Elhom</t>
        </is>
      </c>
      <c r="E42" s="6" t="inlineStr">
        <is>
          <t>стенд не указан</t>
        </is>
      </c>
      <c r="F42" s="6" t="inlineStr">
        <is>
          <t>Тяжёлые раздвижные столы (керамика, МДФ), поворотные стулья с возвратным механизмом</t>
        </is>
      </c>
      <c r="G42" s="8" t="n"/>
      <c r="H42" s="6" t="inlineStr">
        <is>
          <t>шт</t>
        </is>
      </c>
      <c r="I42" s="9" t="n"/>
      <c r="J42" s="10">
        <f>IF(G42="","",ROUND(G42*$B$2,0))</f>
        <v/>
      </c>
      <c r="K42" s="10">
        <f>IF(I42="","",ROUND(I42*$D$2*$B$2,0))</f>
        <v/>
      </c>
      <c r="L42" s="11">
        <f>IF(OR(G42="",I42=""),"",J42+K42)</f>
        <v/>
      </c>
      <c r="M42" s="6" t="inlineStr">
        <is>
          <t>цен нет — запросить</t>
        </is>
      </c>
      <c r="N42" s="6" t="inlineStr">
        <is>
          <t>в таблице Олега нет; контакты не найдены</t>
        </is>
      </c>
      <c r="O42" s="6" t="inlineStr"/>
      <c r="P42" s="6" t="inlineStr">
        <is>
          <t>Олег: стулья удобные, выбор тканей; находятся в провинции Хэбэй (север Китая).</t>
        </is>
      </c>
      <c r="Q42" s="12" t="inlineStr">
        <is>
          <t>смотреть (1)</t>
        </is>
      </c>
      <c r="R42" s="6" t="n"/>
    </row>
    <row r="43">
      <c r="A43" s="6" t="n">
        <v>39</v>
      </c>
      <c r="B43" s="13" t="inlineStr">
        <is>
          <t>CIFF</t>
        </is>
      </c>
      <c r="C43" s="6" t="inlineStr">
        <is>
          <t>Стулья</t>
        </is>
      </c>
      <c r="D43" s="6" t="inlineStr">
        <is>
          <t>Taige Furniture (TAIGE)</t>
        </is>
      </c>
      <c r="E43" s="6" t="inlineStr">
        <is>
          <t>E4C01</t>
        </is>
      </c>
      <c r="F43" s="6" t="inlineStr">
        <is>
          <t>Стулья в ткани, столы из цемента, небольшие столы; ткань Black Rock и др.</t>
        </is>
      </c>
      <c r="G43" s="8" t="n"/>
      <c r="H43" s="6" t="inlineStr">
        <is>
          <t>шт</t>
        </is>
      </c>
      <c r="I43" s="9" t="n"/>
      <c r="J43" s="10">
        <f>IF(G43="","",ROUND(G43*$B$2,0))</f>
        <v/>
      </c>
      <c r="K43" s="10">
        <f>IF(I43="","",ROUND(I43*$D$2*$B$2,0))</f>
        <v/>
      </c>
      <c r="L43" s="11">
        <f>IF(OR(G43="",I43=""),"",J43+K43)</f>
        <v/>
      </c>
      <c r="M43" s="6" t="inlineStr">
        <is>
          <t>цен нет — запросить</t>
        </is>
      </c>
      <c r="N43" s="6" t="inlineStr">
        <is>
          <t>Mia, mia@taigefurniture.com (Бажоу)</t>
        </is>
      </c>
      <c r="O43" s="6" t="inlineStr"/>
      <c r="P43" s="6" t="inlineStr">
        <is>
          <t>Олег: сидел бы весь день; пришлют упаковку и каталог на почту.</t>
        </is>
      </c>
      <c r="Q43" s="12" t="inlineStr">
        <is>
          <t>смотреть (1)</t>
        </is>
      </c>
      <c r="R43" s="12" t="inlineStr">
        <is>
          <t>фото (1)</t>
        </is>
      </c>
    </row>
    <row r="44">
      <c r="A44" s="6" t="n">
        <v>40</v>
      </c>
      <c r="B44" s="13" t="inlineStr">
        <is>
          <t>CIFF</t>
        </is>
      </c>
      <c r="C44" s="6" t="inlineStr">
        <is>
          <t>Стулья</t>
        </is>
      </c>
      <c r="D44" s="6" t="inlineStr">
        <is>
          <t>L-Home</t>
        </is>
      </c>
      <c r="E44" s="6" t="inlineStr">
        <is>
          <t>стенд не указан</t>
        </is>
      </c>
      <c r="F44" s="6" t="inlineStr">
        <is>
          <t>Поворотные мягкие кресла (металл/дерево), обеденные столы из слэба</t>
        </is>
      </c>
      <c r="G44" s="8" t="n"/>
      <c r="H44" s="6" t="inlineStr">
        <is>
          <t>шт</t>
        </is>
      </c>
      <c r="I44" s="9" t="n"/>
      <c r="J44" s="10">
        <f>IF(G44="","",ROUND(G44*$B$2,0))</f>
        <v/>
      </c>
      <c r="K44" s="10">
        <f>IF(I44="","",ROUND(I44*$D$2*$B$2,0))</f>
        <v/>
      </c>
      <c r="L44" s="11">
        <f>IF(OR(G44="",I44=""),"",J44+K44)</f>
        <v/>
      </c>
      <c r="M44" s="6" t="inlineStr">
        <is>
          <t>цен нет — запросить</t>
        </is>
      </c>
      <c r="N44" s="6" t="inlineStr">
        <is>
          <t>Sophia Chen, sophia@lhome-furniture.com (Бажоу)</t>
        </is>
      </c>
      <c r="O44" s="6" t="inlineStr"/>
      <c r="P44" s="6" t="inlineStr">
        <is>
          <t>Олег: данных нет (из фото Ани)</t>
        </is>
      </c>
      <c r="Q44" s="6" t="n"/>
      <c r="R44" s="12" t="inlineStr">
        <is>
          <t>фото (2)</t>
        </is>
      </c>
    </row>
    <row r="45">
      <c r="A45" s="6" t="n">
        <v>41</v>
      </c>
      <c r="B45" s="13" t="inlineStr">
        <is>
          <t>CIFF</t>
        </is>
      </c>
      <c r="C45" s="6" t="inlineStr">
        <is>
          <t>Комплектующие</t>
        </is>
      </c>
      <c r="D45" s="6" t="inlineStr">
        <is>
          <t>Guangdong Langcheng Metal Products (Gaoyao metal)</t>
        </is>
      </c>
      <c r="E45" s="6" t="inlineStr">
        <is>
          <t>D (фурнитура)</t>
        </is>
      </c>
      <c r="F45" s="6" t="inlineStr">
        <is>
          <t>Раздвижные и подъёмные механизмы столов, салазки, «Center leaf auto lifting»</t>
        </is>
      </c>
      <c r="G45" s="8" t="n"/>
      <c r="H45" s="6" t="inlineStr">
        <is>
          <t>шт</t>
        </is>
      </c>
      <c r="I45" s="9" t="n"/>
      <c r="J45" s="10">
        <f>IF(G45="","",ROUND(G45*$B$2,0))</f>
        <v/>
      </c>
      <c r="K45" s="10">
        <f>IF(I45="","",ROUND(I45*$D$2*$B$2,0))</f>
        <v/>
      </c>
      <c r="L45" s="11">
        <f>IF(OR(G45="",I45=""),"",J45+K45)</f>
        <v/>
      </c>
      <c r="M45" s="6" t="inlineStr">
        <is>
          <t>цен нет — запросить</t>
        </is>
      </c>
      <c r="N45" s="6" t="inlineStr">
        <is>
          <t>Tony Zhou, tonyzhou@langcheng668.com (Foshan)</t>
        </is>
      </c>
      <c r="O45" s="6" t="inlineStr"/>
      <c r="P45" s="6" t="inlineStr">
        <is>
          <t>Олег: Тони пришлёт каталог и упаковку на все позиции; рядом, в Фошане.</t>
        </is>
      </c>
      <c r="Q45" s="12" t="inlineStr">
        <is>
          <t>смотреть (1)</t>
        </is>
      </c>
      <c r="R45" s="12" t="inlineStr">
        <is>
          <t>фото (1)</t>
        </is>
      </c>
    </row>
    <row r="46">
      <c r="A46" s="6" t="n">
        <v>42</v>
      </c>
      <c r="B46" s="13" t="inlineStr">
        <is>
          <t>CIFF</t>
        </is>
      </c>
      <c r="C46" s="6" t="inlineStr">
        <is>
          <t>Стулья</t>
        </is>
      </c>
      <c r="D46" s="6" t="inlineStr">
        <is>
          <t>Rain Trees (雨树)</t>
        </is>
      </c>
      <c r="E46" s="6" t="inlineStr">
        <is>
          <t>стенд не указан</t>
        </is>
      </c>
      <c r="F46" s="6" t="inlineStr">
        <is>
          <t>Пластиковая мебель (пластик+металл, пластик+пластик), уличный диван</t>
        </is>
      </c>
      <c r="G46" s="8" t="n"/>
      <c r="H46" s="6" t="inlineStr">
        <is>
          <t>шт</t>
        </is>
      </c>
      <c r="I46" s="9" t="n"/>
      <c r="J46" s="10">
        <f>IF(G46="","",ROUND(G46*$B$2,0))</f>
        <v/>
      </c>
      <c r="K46" s="10">
        <f>IF(I46="","",ROUND(I46*$D$2*$B$2,0))</f>
        <v/>
      </c>
      <c r="L46" s="11">
        <f>IF(OR(G46="",I46=""),"",J46+K46)</f>
        <v/>
      </c>
      <c r="M46" s="6" t="inlineStr">
        <is>
          <t>цен нет — запросить</t>
        </is>
      </c>
      <c r="N46" s="6" t="inlineStr">
        <is>
          <t>Dora Wu, dora_wu@raintrees.cn (Ланфан)</t>
        </is>
      </c>
      <c r="O46" s="6" t="inlineStr"/>
      <c r="P46" s="6" t="inlineStr">
        <is>
          <t>Олег: сидеть удобно, пластиковые кресла устойчивы.</t>
        </is>
      </c>
      <c r="Q46" s="12" t="inlineStr">
        <is>
          <t>смотреть (1)</t>
        </is>
      </c>
      <c r="R46" s="12" t="inlineStr">
        <is>
          <t>фото (1)</t>
        </is>
      </c>
    </row>
    <row r="47">
      <c r="A47" s="6" t="n">
        <v>43</v>
      </c>
      <c r="B47" s="13" t="inlineStr">
        <is>
          <t>CIFF</t>
        </is>
      </c>
      <c r="C47" s="6" t="inlineStr">
        <is>
          <t>Стулья</t>
        </is>
      </c>
      <c r="D47" s="6" t="inlineStr">
        <is>
          <t>Gooda (Tianjin Gooda)</t>
        </is>
      </c>
      <c r="E47" s="6" t="inlineStr">
        <is>
          <t>стенд не указан</t>
        </is>
      </c>
      <c r="F47" s="6" t="inlineStr">
        <is>
          <t>Мягкие барные стулья и стулья (букле, ткань)</t>
        </is>
      </c>
      <c r="G47" s="8" t="n"/>
      <c r="H47" s="6" t="inlineStr">
        <is>
          <t>шт</t>
        </is>
      </c>
      <c r="I47" s="9" t="n"/>
      <c r="J47" s="10">
        <f>IF(G47="","",ROUND(G47*$B$2,0))</f>
        <v/>
      </c>
      <c r="K47" s="10">
        <f>IF(I47="","",ROUND(I47*$D$2*$B$2,0))</f>
        <v/>
      </c>
      <c r="L47" s="11">
        <f>IF(OR(G47="",I47=""),"",J47+K47)</f>
        <v/>
      </c>
      <c r="M47" s="6" t="inlineStr">
        <is>
          <t>цен нет — запросить</t>
        </is>
      </c>
      <c r="N47" s="6" t="inlineStr">
        <is>
          <t>Lele Jia, lelejia@tjgooda.com (Тяньцзинь)</t>
        </is>
      </c>
      <c r="O47" s="6" t="inlineStr"/>
      <c r="P47" s="6" t="inlineStr">
        <is>
          <t>Олег: данных нет</t>
        </is>
      </c>
      <c r="Q47" s="6" t="n"/>
      <c r="R47" s="12" t="inlineStr">
        <is>
          <t>фото (1)</t>
        </is>
      </c>
    </row>
    <row r="48">
      <c r="A48" s="6" t="n">
        <v>44</v>
      </c>
      <c r="B48" s="13" t="inlineStr">
        <is>
          <t>CIFF</t>
        </is>
      </c>
      <c r="C48" s="6" t="inlineStr">
        <is>
          <t>Стулья</t>
        </is>
      </c>
      <c r="D48" s="6" t="inlineStr">
        <is>
          <t>«Года Хон» (по слуху, Lily; название уточнить)</t>
        </is>
      </c>
      <c r="E48" s="6" t="inlineStr">
        <is>
          <t>стенд не указан</t>
        </is>
      </c>
      <c r="F48" s="6" t="inlineStr">
        <is>
          <t>Стулья (текстиль/дерево/металл), разборный столик</t>
        </is>
      </c>
      <c r="G48" s="8" t="n"/>
      <c r="H48" s="6" t="inlineStr">
        <is>
          <t>шт</t>
        </is>
      </c>
      <c r="I48" s="9" t="n"/>
      <c r="J48" s="10">
        <f>IF(G48="","",ROUND(G48*$B$2,0))</f>
        <v/>
      </c>
      <c r="K48" s="10">
        <f>IF(I48="","",ROUND(I48*$D$2*$B$2,0))</f>
        <v/>
      </c>
      <c r="L48" s="11">
        <f>IF(OR(G48="",I48=""),"",J48+K48)</f>
        <v/>
      </c>
      <c r="M48" s="6" t="inlineStr">
        <is>
          <t>цен нет — запросить</t>
        </is>
      </c>
      <c r="N48" s="6" t="inlineStr">
        <is>
          <t>Lily (визитка отсканировать, контакт в данных не найден)</t>
        </is>
      </c>
      <c r="O48" s="6" t="inlineStr"/>
      <c r="P48" s="6" t="inlineStr">
        <is>
          <t>Олег: хорошо собраны, ничего не двигается под тобой.</t>
        </is>
      </c>
      <c r="Q48" s="12" t="inlineStr">
        <is>
          <t>смотреть (1)</t>
        </is>
      </c>
      <c r="R48" s="6" t="n"/>
    </row>
    <row r="49">
      <c r="A49" s="6" t="n">
        <v>45</v>
      </c>
      <c r="B49" s="13" t="inlineStr">
        <is>
          <t>CIFF</t>
        </is>
      </c>
      <c r="C49" s="6" t="inlineStr">
        <is>
          <t>Стулья</t>
        </is>
      </c>
      <c r="D49" s="6" t="inlineStr">
        <is>
          <t>Sanq Furniture (Sanchan / «Санки»; 三创)</t>
        </is>
      </c>
      <c r="E49" s="6" t="inlineStr">
        <is>
          <t>стенд не указан</t>
        </is>
      </c>
      <c r="F49" s="6" t="inlineStr">
        <is>
          <t>Поворотные стулья, разборные ножки, сборные столики</t>
        </is>
      </c>
      <c r="G49" s="8" t="n"/>
      <c r="H49" s="6" t="inlineStr">
        <is>
          <t>шт</t>
        </is>
      </c>
      <c r="I49" s="9" t="n"/>
      <c r="J49" s="10">
        <f>IF(G49="","",ROUND(G49*$B$2,0))</f>
        <v/>
      </c>
      <c r="K49" s="10">
        <f>IF(I49="","",ROUND(I49*$D$2*$B$2,0))</f>
        <v/>
      </c>
      <c r="L49" s="11">
        <f>IF(OR(G49="",I49=""),"",J49+K49)</f>
        <v/>
      </c>
      <c r="M49" s="6" t="inlineStr">
        <is>
          <t>цен нет — запросить</t>
        </is>
      </c>
      <c r="N49" s="6" t="inlineStr">
        <is>
          <t>Quin, quin@sanq.cn (Ланфан)</t>
        </is>
      </c>
      <c r="O49" s="12" t="inlineStr">
        <is>
          <t>https://www.sanq.cn</t>
        </is>
      </c>
      <c r="P49" s="6" t="inlineStr">
        <is>
          <t>Олег: стулья неплохие, разборные ножки удобны для перевозки.</t>
        </is>
      </c>
      <c r="Q49" s="12" t="inlineStr">
        <is>
          <t>смотреть (1)</t>
        </is>
      </c>
      <c r="R49" s="12" t="inlineStr">
        <is>
          <t>фото (1)</t>
        </is>
      </c>
    </row>
    <row r="50">
      <c r="A50" s="6" t="n">
        <v>46</v>
      </c>
      <c r="B50" s="13" t="inlineStr">
        <is>
          <t>CIFF</t>
        </is>
      </c>
      <c r="C50" s="6" t="inlineStr">
        <is>
          <t>Комплектующие</t>
        </is>
      </c>
      <c r="D50" s="6" t="inlineStr">
        <is>
          <t>Emfine (Foshan; «Фуша…»)</t>
        </is>
      </c>
      <c r="E50" s="6" t="inlineStr">
        <is>
          <t>стенд не указан</t>
        </is>
      </c>
      <c r="F50" s="6" t="inlineStr">
        <is>
          <t>Запчасти под барные стулья и столы, прочие изделия</t>
        </is>
      </c>
      <c r="G50" s="8" t="n"/>
      <c r="H50" s="6" t="inlineStr">
        <is>
          <t>шт</t>
        </is>
      </c>
      <c r="I50" s="9" t="n"/>
      <c r="J50" s="10">
        <f>IF(G50="","",ROUND(G50*$B$2,0))</f>
        <v/>
      </c>
      <c r="K50" s="10">
        <f>IF(I50="","",ROUND(I50*$D$2*$B$2,0))</f>
        <v/>
      </c>
      <c r="L50" s="11">
        <f>IF(OR(G50="",I50=""),"",J50+K50)</f>
        <v/>
      </c>
      <c r="M50" s="6" t="inlineStr">
        <is>
          <t>цен нет — запросить</t>
        </is>
      </c>
      <c r="N50" s="6" t="inlineStr">
        <is>
          <t>Tony Chan, tony@emfinecn.com (Фошань)</t>
        </is>
      </c>
      <c r="O50" s="12" t="inlineStr">
        <is>
          <t>https://emfinecn.com</t>
        </is>
      </c>
      <c r="P50" s="6" t="inlineStr">
        <is>
          <t>Олег: не совсем то, но для ознакомления; визитка взята.</t>
        </is>
      </c>
      <c r="Q50" s="12" t="inlineStr">
        <is>
          <t>смотреть (1)</t>
        </is>
      </c>
      <c r="R50" s="6" t="n"/>
    </row>
    <row r="51">
      <c r="A51" s="6" t="n">
        <v>47</v>
      </c>
      <c r="B51" s="13" t="inlineStr">
        <is>
          <t>CIFF</t>
        </is>
      </c>
      <c r="C51" s="6" t="inlineStr">
        <is>
          <t>Стулья</t>
        </is>
      </c>
      <c r="D51" s="6" t="inlineStr">
        <is>
          <t>Lancas (LANCAS)</t>
        </is>
      </c>
      <c r="E51" s="6" t="inlineStr">
        <is>
          <t>стенд не указан</t>
        </is>
      </c>
      <c r="F51" s="6" t="inlineStr">
        <is>
          <t>Раздвижные столы, стулья дерево/текстиль, поворотный механизм с возвратом</t>
        </is>
      </c>
      <c r="G51" s="8" t="n"/>
      <c r="H51" s="6" t="inlineStr">
        <is>
          <t>шт</t>
        </is>
      </c>
      <c r="I51" s="9" t="n"/>
      <c r="J51" s="10">
        <f>IF(G51="","",ROUND(G51*$B$2,0))</f>
        <v/>
      </c>
      <c r="K51" s="10">
        <f>IF(I51="","",ROUND(I51*$D$2*$B$2,0))</f>
        <v/>
      </c>
      <c r="L51" s="11">
        <f>IF(OR(G51="",I51=""),"",J51+K51)</f>
        <v/>
      </c>
      <c r="M51" s="6" t="inlineStr">
        <is>
          <t>цен нет — запросить</t>
        </is>
      </c>
      <c r="N51" s="6" t="inlineStr">
        <is>
          <t>Patrick Xu, sales7@lancas-furniture.com (Бажоу)</t>
        </is>
      </c>
      <c r="O51" s="6" t="inlineStr"/>
      <c r="P51" s="6" t="inlineStr">
        <is>
          <t>Олег: есть клиенты у раздвижных столов - хороший показатель; Патрик пришлёт каталог и упаковку.</t>
        </is>
      </c>
      <c r="Q51" s="12" t="inlineStr">
        <is>
          <t>смотреть (1)</t>
        </is>
      </c>
      <c r="R51" s="12" t="inlineStr">
        <is>
          <t>фото (1)</t>
        </is>
      </c>
    </row>
    <row r="52">
      <c r="A52" s="6" t="n">
        <v>48</v>
      </c>
      <c r="B52" s="13" t="inlineStr">
        <is>
          <t>CIFF</t>
        </is>
      </c>
      <c r="C52" s="6" t="inlineStr">
        <is>
          <t>Столы</t>
        </is>
      </c>
      <c r="D52" s="6" t="inlineStr">
        <is>
          <t>Jingshuangxing</t>
        </is>
      </c>
      <c r="E52" s="6" t="inlineStr">
        <is>
          <t>стенд не указан</t>
        </is>
      </c>
      <c r="F52" s="6" t="inlineStr">
        <is>
          <t>Раздвижные столы</t>
        </is>
      </c>
      <c r="G52" s="8" t="n"/>
      <c r="H52" s="6" t="inlineStr">
        <is>
          <t>шт</t>
        </is>
      </c>
      <c r="I52" s="9" t="n"/>
      <c r="J52" s="10">
        <f>IF(G52="","",ROUND(G52*$B$2,0))</f>
        <v/>
      </c>
      <c r="K52" s="10">
        <f>IF(I52="","",ROUND(I52*$D$2*$B$2,0))</f>
        <v/>
      </c>
      <c r="L52" s="11">
        <f>IF(OR(G52="",I52=""),"",J52+K52)</f>
        <v/>
      </c>
      <c r="M52" s="6" t="inlineStr">
        <is>
          <t>цен нет — запросить</t>
        </is>
      </c>
      <c r="N52" s="6" t="inlineStr">
        <is>
          <t>Jason, wangjincheng@gmail.com (Бажоу)</t>
        </is>
      </c>
      <c r="O52" s="6" t="inlineStr"/>
      <c r="P52" s="6" t="inlineStr">
        <is>
          <t>Олег: данных нет (только таблица)</t>
        </is>
      </c>
      <c r="Q52" s="6" t="n"/>
      <c r="R52" s="6" t="n"/>
    </row>
    <row r="53">
      <c r="A53" s="6" t="n">
        <v>49</v>
      </c>
      <c r="B53" s="13" t="inlineStr">
        <is>
          <t>CIFF</t>
        </is>
      </c>
      <c r="C53" s="6" t="inlineStr">
        <is>
          <t>Стулья</t>
        </is>
      </c>
      <c r="D53" s="6" t="inlineStr">
        <is>
          <t>Parcino (柏思诺) / Pinkassa / Vanpin Casa</t>
        </is>
      </c>
      <c r="E53" s="6" t="inlineStr">
        <is>
          <t>E2D06 (?)</t>
        </is>
      </c>
      <c r="F53" s="6" t="inlineStr">
        <is>
          <t>Стулья, сборные столы (микроцемент), мягкие пуфы и барные стулья</t>
        </is>
      </c>
      <c r="G53" s="8" t="n"/>
      <c r="H53" s="6" t="inlineStr">
        <is>
          <t>шт</t>
        </is>
      </c>
      <c r="I53" s="9" t="n"/>
      <c r="J53" s="10">
        <f>IF(G53="","",ROUND(G53*$B$2,0))</f>
        <v/>
      </c>
      <c r="K53" s="10">
        <f>IF(I53="","",ROUND(I53*$D$2*$B$2,0))</f>
        <v/>
      </c>
      <c r="L53" s="11">
        <f>IF(OR(G53="",I53=""),"",J53+K53)</f>
        <v/>
      </c>
      <c r="M53" s="6" t="inlineStr">
        <is>
          <t>цен нет — запросить</t>
        </is>
      </c>
      <c r="N53" s="6" t="inlineStr">
        <is>
          <t>Lia, sales12@yongshengjj.com (Бажоу); одна компания для Parcino и Vanpin Casa</t>
        </is>
      </c>
      <c r="O53" s="6" t="inlineStr"/>
      <c r="P53" s="6" t="inlineStr">
        <is>
          <t>Олег: одна компания с Pinkassa, очень не хотят, чтобы их снимали; запросили каталог и упаковку для Европы.</t>
        </is>
      </c>
      <c r="Q53" s="12" t="inlineStr">
        <is>
          <t>смотреть (2)</t>
        </is>
      </c>
      <c r="R53" s="12" t="inlineStr">
        <is>
          <t>фото (2)</t>
        </is>
      </c>
    </row>
    <row r="54">
      <c r="A54" s="6" t="n">
        <v>50</v>
      </c>
      <c r="B54" s="13" t="inlineStr">
        <is>
          <t>CIFF</t>
        </is>
      </c>
      <c r="C54" s="6" t="inlineStr">
        <is>
          <t>Стулья</t>
        </is>
      </c>
      <c r="D54" s="6" t="inlineStr">
        <is>
          <t>Six Sigma (六西格玛)</t>
        </is>
      </c>
      <c r="E54" s="6" t="inlineStr">
        <is>
          <t>стенд не указан</t>
        </is>
      </c>
      <c r="F54" s="6" t="inlineStr">
        <is>
          <t>Столы из 4 секций, стулья, полки и столики</t>
        </is>
      </c>
      <c r="G54" s="8" t="n"/>
      <c r="H54" s="6" t="inlineStr">
        <is>
          <t>шт</t>
        </is>
      </c>
      <c r="I54" s="9" t="n"/>
      <c r="J54" s="10">
        <f>IF(G54="","",ROUND(G54*$B$2,0))</f>
        <v/>
      </c>
      <c r="K54" s="10">
        <f>IF(I54="","",ROUND(I54*$D$2*$B$2,0))</f>
        <v/>
      </c>
      <c r="L54" s="11">
        <f>IF(OR(G54="",I54=""),"",J54+K54)</f>
        <v/>
      </c>
      <c r="M54" s="6" t="inlineStr">
        <is>
          <t>цен нет — запросить</t>
        </is>
      </c>
      <c r="N54" s="6" t="inlineStr">
        <is>
          <t>Keke, sales01@sixsigma-furniture.com (Ланфан)</t>
        </is>
      </c>
      <c r="O54" s="6" t="inlineStr"/>
      <c r="P54" s="6" t="inlineStr">
        <is>
          <t>Олег: стулья поворачиваются туго и стоят неровно, возможно из-за поверхности; карточку принесут.</t>
        </is>
      </c>
      <c r="Q54" s="12" t="inlineStr">
        <is>
          <t>смотреть (1)</t>
        </is>
      </c>
      <c r="R54" s="12" t="inlineStr">
        <is>
          <t>фото (1)</t>
        </is>
      </c>
    </row>
    <row r="55">
      <c r="A55" s="6" t="n">
        <v>51</v>
      </c>
      <c r="B55" s="13" t="inlineStr">
        <is>
          <t>CIFF</t>
        </is>
      </c>
      <c r="C55" s="6" t="inlineStr">
        <is>
          <t>Стулья</t>
        </is>
      </c>
      <c r="D55" s="6" t="inlineStr">
        <is>
          <t>Tianjian (TIANJIAN, BSCI)</t>
        </is>
      </c>
      <c r="E55" s="6" t="inlineStr">
        <is>
          <t>E?C03</t>
        </is>
      </c>
      <c r="F55" s="6" t="inlineStr">
        <is>
          <t>Стулья, столы</t>
        </is>
      </c>
      <c r="G55" s="8" t="n"/>
      <c r="H55" s="6" t="inlineStr">
        <is>
          <t>шт</t>
        </is>
      </c>
      <c r="I55" s="9" t="n"/>
      <c r="J55" s="10">
        <f>IF(G55="","",ROUND(G55*$B$2,0))</f>
        <v/>
      </c>
      <c r="K55" s="10">
        <f>IF(I55="","",ROUND(I55*$D$2*$B$2,0))</f>
        <v/>
      </c>
      <c r="L55" s="11">
        <f>IF(OR(G55="",I55=""),"",J55+K55)</f>
        <v/>
      </c>
      <c r="M55" s="6" t="inlineStr">
        <is>
          <t>цен нет — запросить</t>
        </is>
      </c>
      <c r="N55" s="6" t="inlineStr">
        <is>
          <t>Fanny Lam, fanny@tianjian-china.com (Цзянмэнь)</t>
        </is>
      </c>
      <c r="O55" s="12" t="inlineStr">
        <is>
          <t>https://www.tianjian-china.com</t>
        </is>
      </c>
      <c r="P55" s="6" t="inlineStr">
        <is>
          <t>Олег: данных нет</t>
        </is>
      </c>
      <c r="Q55" s="6" t="n"/>
      <c r="R55" s="12" t="inlineStr">
        <is>
          <t>фото (1)</t>
        </is>
      </c>
    </row>
    <row r="56">
      <c r="A56" s="6" t="n">
        <v>52</v>
      </c>
      <c r="B56" s="13" t="inlineStr">
        <is>
          <t>CIFF</t>
        </is>
      </c>
      <c r="C56" s="6" t="inlineStr">
        <is>
          <t>Столы</t>
        </is>
      </c>
      <c r="D56" s="6" t="inlineStr">
        <is>
          <t>Tenzin (Тензин)</t>
        </is>
      </c>
      <c r="E56" s="6" t="inlineStr">
        <is>
          <t>стенд не указан</t>
        </is>
      </c>
      <c r="F56" s="6" t="inlineStr">
        <is>
          <t>Столы, текстиль, механизм возврата</t>
        </is>
      </c>
      <c r="G56" s="8" t="n"/>
      <c r="H56" s="6" t="inlineStr">
        <is>
          <t>шт</t>
        </is>
      </c>
      <c r="I56" s="9" t="n"/>
      <c r="J56" s="10">
        <f>IF(G56="","",ROUND(G56*$B$2,0))</f>
        <v/>
      </c>
      <c r="K56" s="10">
        <f>IF(I56="","",ROUND(I56*$D$2*$B$2,0))</f>
        <v/>
      </c>
      <c r="L56" s="11">
        <f>IF(OR(G56="",I56=""),"",J56+K56)</f>
        <v/>
      </c>
      <c r="M56" s="6" t="inlineStr">
        <is>
          <t>цен нет — запросить</t>
        </is>
      </c>
      <c r="N56" s="6" t="inlineStr">
        <is>
          <t>контактов нет; запросят информацию</t>
        </is>
      </c>
      <c r="O56" s="6" t="inlineStr"/>
      <c r="P56" s="6" t="inlineStr">
        <is>
          <t>Олег: компания в нашей провинции, в городе Цзянмэнь - можно навестить; большой плюс.</t>
        </is>
      </c>
      <c r="Q56" s="12" t="inlineStr">
        <is>
          <t>смотреть (1)</t>
        </is>
      </c>
      <c r="R56" s="6" t="n"/>
    </row>
    <row r="57">
      <c r="A57" s="6" t="n">
        <v>53</v>
      </c>
      <c r="B57" s="13" t="inlineStr">
        <is>
          <t>CIFF</t>
        </is>
      </c>
      <c r="C57" s="6" t="inlineStr">
        <is>
          <t>Стулья</t>
        </is>
      </c>
      <c r="D57" s="6" t="inlineStr">
        <is>
          <t>Dongpeng Plastics (стенд)</t>
        </is>
      </c>
      <c r="E57" s="6" t="inlineStr">
        <is>
          <t>стенд не указан</t>
        </is>
      </c>
      <c r="F57" s="6" t="inlineStr">
        <is>
          <t>Складной деревянный/пластиковый стул</t>
        </is>
      </c>
      <c r="G57" s="8" t="n"/>
      <c r="H57" s="6" t="inlineStr">
        <is>
          <t>шт</t>
        </is>
      </c>
      <c r="I57" s="9" t="n"/>
      <c r="J57" s="10">
        <f>IF(G57="","",ROUND(G57*$B$2,0))</f>
        <v/>
      </c>
      <c r="K57" s="10">
        <f>IF(I57="","",ROUND(I57*$D$2*$B$2,0))</f>
        <v/>
      </c>
      <c r="L57" s="11">
        <f>IF(OR(G57="",I57=""),"",J57+K57)</f>
        <v/>
      </c>
      <c r="M57" s="6" t="inlineStr">
        <is>
          <t>цен нет — запросить</t>
        </is>
      </c>
      <c r="N57" s="6" t="inlineStr">
        <is>
          <t>нет контактов</t>
        </is>
      </c>
      <c r="O57" s="6" t="inlineStr"/>
      <c r="P57" s="6" t="inlineStr">
        <is>
          <t>Аня: стул надо протестировать, посмотреть в сложенном виде; Никита: выглядит как крашеное дерево.</t>
        </is>
      </c>
      <c r="Q57" s="6" t="n"/>
      <c r="R57" s="12" t="inlineStr">
        <is>
          <t>фото (1)</t>
        </is>
      </c>
    </row>
    <row r="58">
      <c r="A58" s="6" t="n">
        <v>54</v>
      </c>
      <c r="B58" s="13" t="inlineStr">
        <is>
          <t>CIFF</t>
        </is>
      </c>
      <c r="C58" s="6" t="inlineStr">
        <is>
          <t>Стулья</t>
        </is>
      </c>
      <c r="D58" s="6" t="inlineStr">
        <is>
          <t>KUGEX FURNITURE / COUGER</t>
        </is>
      </c>
      <c r="E58" s="6" t="inlineStr">
        <is>
          <t>рядом с павильоном выше</t>
        </is>
      </c>
      <c r="F58" s="6" t="inlineStr">
        <is>
          <t>Стулья, банкетки; ножки покраской под дерево</t>
        </is>
      </c>
      <c r="G58" s="8" t="n"/>
      <c r="H58" s="6" t="inlineStr">
        <is>
          <t>шт</t>
        </is>
      </c>
      <c r="I58" s="9" t="n"/>
      <c r="J58" s="10">
        <f>IF(G58="","",ROUND(G58*$B$2,0))</f>
        <v/>
      </c>
      <c r="K58" s="10">
        <f>IF(I58="","",ROUND(I58*$D$2*$B$2,0))</f>
        <v/>
      </c>
      <c r="L58" s="11">
        <f>IF(OR(G58="",I58=""),"",J58+K58)</f>
        <v/>
      </c>
      <c r="M58" s="6" t="inlineStr">
        <is>
          <t>цен нет — запросить</t>
        </is>
      </c>
      <c r="N58" s="6" t="inlineStr">
        <is>
          <t>нет контактов в данных</t>
        </is>
      </c>
      <c r="O58" s="6" t="inlineStr"/>
      <c r="P58" s="6" t="inlineStr">
        <is>
          <t>Аня: взять контакты, узнать про оборудование для нанесения покрытия под дерево.</t>
        </is>
      </c>
      <c r="Q58" s="6" t="n"/>
      <c r="R58" s="12" t="inlineStr">
        <is>
          <t>фото (3)</t>
        </is>
      </c>
    </row>
    <row r="59">
      <c r="A59" s="6" t="n">
        <v>55</v>
      </c>
      <c r="B59" s="13" t="inlineStr">
        <is>
          <t>CIFF</t>
        </is>
      </c>
      <c r="C59" s="6" t="inlineStr">
        <is>
          <t>Диваны</t>
        </is>
      </c>
      <c r="D59" s="6" t="inlineStr">
        <is>
          <t>EIE Furniture (精工), компактная упаковка (чтение приблизительное)</t>
        </is>
      </c>
      <c r="E59" s="6" t="inlineStr">
        <is>
          <t>стенд не указан</t>
        </is>
      </c>
      <c r="F59" s="6" t="inlineStr">
        <is>
          <t>Диваны из вельвета, компактная упаковка</t>
        </is>
      </c>
      <c r="G59" s="8" t="n"/>
      <c r="H59" s="6" t="inlineStr">
        <is>
          <t>шт</t>
        </is>
      </c>
      <c r="I59" s="9" t="n"/>
      <c r="J59" s="10">
        <f>IF(G59="","",ROUND(G59*$B$2,0))</f>
        <v/>
      </c>
      <c r="K59" s="10">
        <f>IF(I59="","",ROUND(I59*$D$2*$B$2,0))</f>
        <v/>
      </c>
      <c r="L59" s="11">
        <f>IF(OR(G59="",I59=""),"",J59+K59)</f>
        <v/>
      </c>
      <c r="M59" s="6" t="inlineStr">
        <is>
          <t>цен нет — запросить</t>
        </is>
      </c>
      <c r="N59" s="6" t="inlineStr">
        <is>
          <t>нет</t>
        </is>
      </c>
      <c r="O59" s="6" t="inlineStr"/>
      <c r="P59" s="6" t="inlineStr">
        <is>
          <t>Аня и Никита: 100% заглянуть к этим диванщикам с компактной упаковкой.</t>
        </is>
      </c>
      <c r="Q59" s="6" t="n"/>
      <c r="R59" s="12" t="inlineStr">
        <is>
          <t>фото (1)</t>
        </is>
      </c>
    </row>
    <row r="60">
      <c r="A60" s="6" t="n">
        <v>56</v>
      </c>
      <c r="B60" s="13" t="inlineStr">
        <is>
          <t>CIFF</t>
        </is>
      </c>
      <c r="C60" s="6" t="inlineStr">
        <is>
          <t>Столы</t>
        </is>
      </c>
      <c r="D60" s="6" t="inlineStr">
        <is>
          <t>Goodjob (国匠家具)</t>
        </is>
      </c>
      <c r="E60" s="6" t="inlineStr">
        <is>
          <t>стенд не указан</t>
        </is>
      </c>
      <c r="F60" s="6" t="inlineStr">
        <is>
          <t>Столы-трансформеры, туалетные столики; FSC, amfori</t>
        </is>
      </c>
      <c r="G60" s="8" t="n"/>
      <c r="H60" s="6" t="inlineStr">
        <is>
          <t>шт</t>
        </is>
      </c>
      <c r="I60" s="9" t="n"/>
      <c r="J60" s="10">
        <f>IF(G60="","",ROUND(G60*$B$2,0))</f>
        <v/>
      </c>
      <c r="K60" s="10">
        <f>IF(I60="","",ROUND(I60*$D$2*$B$2,0))</f>
        <v/>
      </c>
      <c r="L60" s="11">
        <f>IF(OR(G60="",I60=""),"",J60+K60)</f>
        <v/>
      </c>
      <c r="M60" s="6" t="inlineStr">
        <is>
          <t>цен нет — запросить</t>
        </is>
      </c>
      <c r="N60" s="6" t="inlineStr">
        <is>
          <t>нет</t>
        </is>
      </c>
      <c r="O60" s="6" t="inlineStr"/>
      <c r="P60" s="6" t="inlineStr">
        <is>
          <t>Аня: интересны, у кого столы-трансформеры.</t>
        </is>
      </c>
      <c r="Q60" s="6" t="n"/>
      <c r="R60" s="12" t="inlineStr">
        <is>
          <t>фото (2)</t>
        </is>
      </c>
    </row>
    <row r="61">
      <c r="A61" s="6" t="n">
        <v>57</v>
      </c>
      <c r="B61" s="13" t="inlineStr">
        <is>
          <t>CIFF</t>
        </is>
      </c>
      <c r="C61" s="6" t="inlineStr">
        <is>
          <t>Кресла и пуфы</t>
        </is>
      </c>
      <c r="D61" s="6" t="inlineStr">
        <is>
          <t>Weiyu (纬誉家具)</t>
        </is>
      </c>
      <c r="E61" s="6" t="inlineStr">
        <is>
          <t>стенд не указан</t>
        </is>
      </c>
      <c r="F61" s="6" t="inlineStr">
        <is>
          <t>Поворотные кресла и пуфы (букле, конические базы); пуфы-грибы</t>
        </is>
      </c>
      <c r="G61" s="8" t="n"/>
      <c r="H61" s="6" t="inlineStr">
        <is>
          <t>шт</t>
        </is>
      </c>
      <c r="I61" s="9" t="n"/>
      <c r="J61" s="10">
        <f>IF(G61="","",ROUND(G61*$B$2,0))</f>
        <v/>
      </c>
      <c r="K61" s="10">
        <f>IF(I61="","",ROUND(I61*$D$2*$B$2,0))</f>
        <v/>
      </c>
      <c r="L61" s="11">
        <f>IF(OR(G61="",I61=""),"",J61+K61)</f>
        <v/>
      </c>
      <c r="M61" s="6" t="inlineStr">
        <is>
          <t>цен нет — запросить</t>
        </is>
      </c>
      <c r="N61" s="6" t="inlineStr">
        <is>
          <t>нет</t>
        </is>
      </c>
      <c r="O61" s="6" t="inlineStr"/>
      <c r="P61" s="6" t="inlineStr">
        <is>
          <t>Аня: поворотные пуфы понравились.</t>
        </is>
      </c>
      <c r="Q61" s="6" t="n"/>
      <c r="R61" s="12" t="inlineStr">
        <is>
          <t>фото (3)</t>
        </is>
      </c>
    </row>
    <row r="62">
      <c r="A62" s="6" t="n">
        <v>58</v>
      </c>
      <c r="B62" s="13" t="inlineStr">
        <is>
          <t>CIFF</t>
        </is>
      </c>
      <c r="C62" s="6" t="inlineStr">
        <is>
          <t>Столы</t>
        </is>
      </c>
      <c r="D62" s="6" t="inlineStr">
        <is>
          <t>KEA HOME</t>
        </is>
      </c>
      <c r="E62" s="6" t="inlineStr">
        <is>
          <t>стенд не указан</t>
        </is>
      </c>
      <c r="F62" s="6" t="inlineStr">
        <is>
          <t>Раздвижные деревянные столы на тумбовых базах, стулья</t>
        </is>
      </c>
      <c r="G62" s="8" t="n"/>
      <c r="H62" s="6" t="inlineStr">
        <is>
          <t>шт</t>
        </is>
      </c>
      <c r="I62" s="9" t="n"/>
      <c r="J62" s="10">
        <f>IF(G62="","",ROUND(G62*$B$2,0))</f>
        <v/>
      </c>
      <c r="K62" s="10">
        <f>IF(I62="","",ROUND(I62*$D$2*$B$2,0))</f>
        <v/>
      </c>
      <c r="L62" s="11">
        <f>IF(OR(G62="",I62=""),"",J62+K62)</f>
        <v/>
      </c>
      <c r="M62" s="6" t="inlineStr">
        <is>
          <t>цен нет — запросить</t>
        </is>
      </c>
      <c r="N62" s="6" t="inlineStr">
        <is>
          <t>нет</t>
        </is>
      </c>
      <c r="O62" s="6" t="inlineStr"/>
      <c r="P62" s="6" t="inlineStr">
        <is>
          <t>Олег: данных нет</t>
        </is>
      </c>
      <c r="Q62" s="6" t="n"/>
      <c r="R62" s="12" t="inlineStr">
        <is>
          <t>фото (2)</t>
        </is>
      </c>
    </row>
    <row r="63">
      <c r="A63" s="6" t="n">
        <v>59</v>
      </c>
      <c r="B63" s="13" t="inlineStr">
        <is>
          <t>CIFF</t>
        </is>
      </c>
      <c r="C63" s="6" t="inlineStr">
        <is>
          <t>Стулья</t>
        </is>
      </c>
      <c r="D63" s="6" t="inlineStr">
        <is>
          <t>ONXY (Zhongshan)</t>
        </is>
      </c>
      <c r="E63" s="6" t="inlineStr">
        <is>
          <t>стенд не указан</t>
        </is>
      </c>
      <c r="F63" s="6" t="inlineStr">
        <is>
          <t>Букле-кресла, обеденный стол и скамья, стулья</t>
        </is>
      </c>
      <c r="G63" s="8" t="n"/>
      <c r="H63" s="6" t="inlineStr">
        <is>
          <t>шт</t>
        </is>
      </c>
      <c r="I63" s="9" t="n"/>
      <c r="J63" s="10">
        <f>IF(G63="","",ROUND(G63*$B$2,0))</f>
        <v/>
      </c>
      <c r="K63" s="10">
        <f>IF(I63="","",ROUND(I63*$D$2*$B$2,0))</f>
        <v/>
      </c>
      <c r="L63" s="11">
        <f>IF(OR(G63="",I63=""),"",J63+K63)</f>
        <v/>
      </c>
      <c r="M63" s="6" t="inlineStr">
        <is>
          <t>цен нет — запросить</t>
        </is>
      </c>
      <c r="N63" s="6" t="inlineStr">
        <is>
          <t>Контактов нет (в таблице: «без контактов», Чжуншань)</t>
        </is>
      </c>
      <c r="O63" s="6" t="inlineStr"/>
      <c r="P63" s="6" t="inlineStr">
        <is>
          <t>Олег: прислал со стрима контакты по запросу; остальных подбирает.</t>
        </is>
      </c>
      <c r="Q63" s="6" t="n"/>
      <c r="R63" s="12" t="inlineStr">
        <is>
          <t>фото (1)</t>
        </is>
      </c>
    </row>
    <row r="64">
      <c r="A64" s="6" t="n">
        <v>60</v>
      </c>
      <c r="B64" s="13" t="inlineStr">
        <is>
          <t>CIFF</t>
        </is>
      </c>
      <c r="C64" s="6" t="inlineStr">
        <is>
          <t>Стулья</t>
        </is>
      </c>
      <c r="D64" s="6" t="inlineStr">
        <is>
          <t>Senchuan (森川): стулья из переработанного пластика</t>
        </is>
      </c>
      <c r="E64" s="6" t="inlineStr">
        <is>
          <t>стенд не указан</t>
        </is>
      </c>
      <c r="F64" s="6" t="inlineStr">
        <is>
          <t>Штабелируемые стулья из вторичного пластика</t>
        </is>
      </c>
      <c r="G64" s="8" t="n"/>
      <c r="H64" s="6" t="inlineStr">
        <is>
          <t>шт</t>
        </is>
      </c>
      <c r="I64" s="9" t="n"/>
      <c r="J64" s="10">
        <f>IF(G64="","",ROUND(G64*$B$2,0))</f>
        <v/>
      </c>
      <c r="K64" s="10">
        <f>IF(I64="","",ROUND(I64*$D$2*$B$2,0))</f>
        <v/>
      </c>
      <c r="L64" s="11">
        <f>IF(OR(G64="",I64=""),"",J64+K64)</f>
        <v/>
      </c>
      <c r="M64" s="6" t="inlineStr">
        <is>
          <t>цен нет — запросить</t>
        </is>
      </c>
      <c r="N64" s="6" t="inlineStr">
        <is>
          <t>нет</t>
        </is>
      </c>
      <c r="O64" s="6" t="inlineStr"/>
      <c r="P64" s="6" t="inlineStr">
        <is>
          <t>Олег: данных нет</t>
        </is>
      </c>
      <c r="Q64" s="6" t="n"/>
      <c r="R64" s="12" t="inlineStr">
        <is>
          <t>фото (1)</t>
        </is>
      </c>
    </row>
    <row r="65">
      <c r="A65" s="6" t="n">
        <v>61</v>
      </c>
      <c r="B65" s="13" t="inlineStr">
        <is>
          <t>CIFF</t>
        </is>
      </c>
      <c r="C65" s="6" t="inlineStr">
        <is>
          <t>Стулья</t>
        </is>
      </c>
      <c r="D65" s="6" t="inlineStr">
        <is>
          <t>Tony Furn / XZMN / FLOW (стенды по фото)</t>
        </is>
      </c>
      <c r="E65" s="6" t="inlineStr">
        <is>
          <t>стенд не указан</t>
        </is>
      </c>
      <c r="F65" s="6" t="inlineStr">
        <is>
          <t>Комоды, пластиковые стулья, кресло-реклайнер</t>
        </is>
      </c>
      <c r="G65" s="8" t="n"/>
      <c r="H65" s="6" t="inlineStr">
        <is>
          <t>шт</t>
        </is>
      </c>
      <c r="I65" s="9" t="n"/>
      <c r="J65" s="10">
        <f>IF(G65="","",ROUND(G65*$B$2,0))</f>
        <v/>
      </c>
      <c r="K65" s="10">
        <f>IF(I65="","",ROUND(I65*$D$2*$B$2,0))</f>
        <v/>
      </c>
      <c r="L65" s="11">
        <f>IF(OR(G65="",I65=""),"",J65+K65)</f>
        <v/>
      </c>
      <c r="M65" s="6" t="inlineStr">
        <is>
          <t>цен нет — запросить</t>
        </is>
      </c>
      <c r="N65" s="6" t="inlineStr">
        <is>
          <t>нет</t>
        </is>
      </c>
      <c r="O65" s="6" t="inlineStr"/>
      <c r="P65" s="6" t="inlineStr">
        <is>
          <t>Аня: данных нет</t>
        </is>
      </c>
      <c r="Q65" s="6" t="n"/>
      <c r="R65" s="12" t="inlineStr">
        <is>
          <t>фото (3)</t>
        </is>
      </c>
    </row>
  </sheetData>
  <autoFilter ref="A4:R65"/>
  <hyperlinks>
    <hyperlink xmlns:r="http://schemas.openxmlformats.org/officeDocument/2006/relationships" ref="Q5" r:id="rId1"/>
    <hyperlink xmlns:r="http://schemas.openxmlformats.org/officeDocument/2006/relationships" ref="R5" r:id="rId2"/>
    <hyperlink xmlns:r="http://schemas.openxmlformats.org/officeDocument/2006/relationships" ref="O6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R8" r:id="rId8"/>
    <hyperlink xmlns:r="http://schemas.openxmlformats.org/officeDocument/2006/relationships" ref="Q9" r:id="rId9"/>
    <hyperlink xmlns:r="http://schemas.openxmlformats.org/officeDocument/2006/relationships" ref="R9" r:id="rId10"/>
    <hyperlink xmlns:r="http://schemas.openxmlformats.org/officeDocument/2006/relationships" ref="Q10" r:id="rId11"/>
    <hyperlink xmlns:r="http://schemas.openxmlformats.org/officeDocument/2006/relationships" ref="R11" r:id="rId12"/>
    <hyperlink xmlns:r="http://schemas.openxmlformats.org/officeDocument/2006/relationships" ref="O12" r:id="rId13"/>
    <hyperlink xmlns:r="http://schemas.openxmlformats.org/officeDocument/2006/relationships" ref="Q12" r:id="rId14"/>
    <hyperlink xmlns:r="http://schemas.openxmlformats.org/officeDocument/2006/relationships" ref="R12" r:id="rId15"/>
    <hyperlink xmlns:r="http://schemas.openxmlformats.org/officeDocument/2006/relationships" ref="O13" r:id="rId16"/>
    <hyperlink xmlns:r="http://schemas.openxmlformats.org/officeDocument/2006/relationships" ref="Q13" r:id="rId17"/>
    <hyperlink xmlns:r="http://schemas.openxmlformats.org/officeDocument/2006/relationships" ref="R13" r:id="rId18"/>
    <hyperlink xmlns:r="http://schemas.openxmlformats.org/officeDocument/2006/relationships" ref="Q14" r:id="rId19"/>
    <hyperlink xmlns:r="http://schemas.openxmlformats.org/officeDocument/2006/relationships" ref="R14" r:id="rId20"/>
    <hyperlink xmlns:r="http://schemas.openxmlformats.org/officeDocument/2006/relationships" ref="O15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O17" r:id="rId26"/>
    <hyperlink xmlns:r="http://schemas.openxmlformats.org/officeDocument/2006/relationships" ref="Q17" r:id="rId27"/>
    <hyperlink xmlns:r="http://schemas.openxmlformats.org/officeDocument/2006/relationships" ref="R17" r:id="rId28"/>
    <hyperlink xmlns:r="http://schemas.openxmlformats.org/officeDocument/2006/relationships" ref="Q18" r:id="rId29"/>
    <hyperlink xmlns:r="http://schemas.openxmlformats.org/officeDocument/2006/relationships" ref="R18" r:id="rId30"/>
    <hyperlink xmlns:r="http://schemas.openxmlformats.org/officeDocument/2006/relationships" ref="R19" r:id="rId31"/>
    <hyperlink xmlns:r="http://schemas.openxmlformats.org/officeDocument/2006/relationships" ref="O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O22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O23" r:id="rId38"/>
    <hyperlink xmlns:r="http://schemas.openxmlformats.org/officeDocument/2006/relationships" ref="Q23" r:id="rId39"/>
    <hyperlink xmlns:r="http://schemas.openxmlformats.org/officeDocument/2006/relationships" ref="R23" r:id="rId40"/>
    <hyperlink xmlns:r="http://schemas.openxmlformats.org/officeDocument/2006/relationships" ref="Q24" r:id="rId41"/>
    <hyperlink xmlns:r="http://schemas.openxmlformats.org/officeDocument/2006/relationships" ref="R24" r:id="rId42"/>
    <hyperlink xmlns:r="http://schemas.openxmlformats.org/officeDocument/2006/relationships" ref="Q25" r:id="rId43"/>
    <hyperlink xmlns:r="http://schemas.openxmlformats.org/officeDocument/2006/relationships" ref="R25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O29" r:id="rId50"/>
    <hyperlink xmlns:r="http://schemas.openxmlformats.org/officeDocument/2006/relationships" ref="Q29" r:id="rId51"/>
    <hyperlink xmlns:r="http://schemas.openxmlformats.org/officeDocument/2006/relationships" ref="R29" r:id="rId52"/>
    <hyperlink xmlns:r="http://schemas.openxmlformats.org/officeDocument/2006/relationships" ref="O30" r:id="rId53"/>
    <hyperlink xmlns:r="http://schemas.openxmlformats.org/officeDocument/2006/relationships" ref="Q30" r:id="rId54"/>
    <hyperlink xmlns:r="http://schemas.openxmlformats.org/officeDocument/2006/relationships" ref="R30" r:id="rId55"/>
    <hyperlink xmlns:r="http://schemas.openxmlformats.org/officeDocument/2006/relationships" ref="Q31" r:id="rId56"/>
    <hyperlink xmlns:r="http://schemas.openxmlformats.org/officeDocument/2006/relationships" ref="R31" r:id="rId57"/>
    <hyperlink xmlns:r="http://schemas.openxmlformats.org/officeDocument/2006/relationships" ref="Q32" r:id="rId58"/>
    <hyperlink xmlns:r="http://schemas.openxmlformats.org/officeDocument/2006/relationships" ref="R32" r:id="rId59"/>
    <hyperlink xmlns:r="http://schemas.openxmlformats.org/officeDocument/2006/relationships" ref="O33" r:id="rId60"/>
    <hyperlink xmlns:r="http://schemas.openxmlformats.org/officeDocument/2006/relationships" ref="Q33" r:id="rId61"/>
    <hyperlink xmlns:r="http://schemas.openxmlformats.org/officeDocument/2006/relationships" ref="R33" r:id="rId62"/>
    <hyperlink xmlns:r="http://schemas.openxmlformats.org/officeDocument/2006/relationships" ref="Q34" r:id="rId63"/>
    <hyperlink xmlns:r="http://schemas.openxmlformats.org/officeDocument/2006/relationships" ref="R34" r:id="rId64"/>
    <hyperlink xmlns:r="http://schemas.openxmlformats.org/officeDocument/2006/relationships" ref="O35" r:id="rId65"/>
    <hyperlink xmlns:r="http://schemas.openxmlformats.org/officeDocument/2006/relationships" ref="Q35" r:id="rId66"/>
    <hyperlink xmlns:r="http://schemas.openxmlformats.org/officeDocument/2006/relationships" ref="R35" r:id="rId67"/>
    <hyperlink xmlns:r="http://schemas.openxmlformats.org/officeDocument/2006/relationships" ref="Q36" r:id="rId68"/>
    <hyperlink xmlns:r="http://schemas.openxmlformats.org/officeDocument/2006/relationships" ref="R36" r:id="rId69"/>
    <hyperlink xmlns:r="http://schemas.openxmlformats.org/officeDocument/2006/relationships" ref="Q37" r:id="rId70"/>
    <hyperlink xmlns:r="http://schemas.openxmlformats.org/officeDocument/2006/relationships" ref="R37" r:id="rId71"/>
    <hyperlink xmlns:r="http://schemas.openxmlformats.org/officeDocument/2006/relationships" ref="R38" r:id="rId72"/>
    <hyperlink xmlns:r="http://schemas.openxmlformats.org/officeDocument/2006/relationships" ref="O39" r:id="rId73"/>
    <hyperlink xmlns:r="http://schemas.openxmlformats.org/officeDocument/2006/relationships" ref="R39" r:id="rId74"/>
    <hyperlink xmlns:r="http://schemas.openxmlformats.org/officeDocument/2006/relationships" ref="R40" r:id="rId75"/>
    <hyperlink xmlns:r="http://schemas.openxmlformats.org/officeDocument/2006/relationships" ref="Q41" r:id="rId76"/>
    <hyperlink xmlns:r="http://schemas.openxmlformats.org/officeDocument/2006/relationships" ref="R41" r:id="rId77"/>
    <hyperlink xmlns:r="http://schemas.openxmlformats.org/officeDocument/2006/relationships" ref="Q42" r:id="rId78"/>
    <hyperlink xmlns:r="http://schemas.openxmlformats.org/officeDocument/2006/relationships" ref="Q43" r:id="rId79"/>
    <hyperlink xmlns:r="http://schemas.openxmlformats.org/officeDocument/2006/relationships" ref="R43" r:id="rId80"/>
    <hyperlink xmlns:r="http://schemas.openxmlformats.org/officeDocument/2006/relationships" ref="R44" r:id="rId81"/>
    <hyperlink xmlns:r="http://schemas.openxmlformats.org/officeDocument/2006/relationships" ref="Q45" r:id="rId82"/>
    <hyperlink xmlns:r="http://schemas.openxmlformats.org/officeDocument/2006/relationships" ref="R45" r:id="rId83"/>
    <hyperlink xmlns:r="http://schemas.openxmlformats.org/officeDocument/2006/relationships" ref="Q46" r:id="rId84"/>
    <hyperlink xmlns:r="http://schemas.openxmlformats.org/officeDocument/2006/relationships" ref="R46" r:id="rId85"/>
    <hyperlink xmlns:r="http://schemas.openxmlformats.org/officeDocument/2006/relationships" ref="R47" r:id="rId86"/>
    <hyperlink xmlns:r="http://schemas.openxmlformats.org/officeDocument/2006/relationships" ref="Q48" r:id="rId87"/>
    <hyperlink xmlns:r="http://schemas.openxmlformats.org/officeDocument/2006/relationships" ref="O49" r:id="rId88"/>
    <hyperlink xmlns:r="http://schemas.openxmlformats.org/officeDocument/2006/relationships" ref="Q49" r:id="rId89"/>
    <hyperlink xmlns:r="http://schemas.openxmlformats.org/officeDocument/2006/relationships" ref="R49" r:id="rId90"/>
    <hyperlink xmlns:r="http://schemas.openxmlformats.org/officeDocument/2006/relationships" ref="O50" r:id="rId91"/>
    <hyperlink xmlns:r="http://schemas.openxmlformats.org/officeDocument/2006/relationships" ref="Q50" r:id="rId92"/>
    <hyperlink xmlns:r="http://schemas.openxmlformats.org/officeDocument/2006/relationships" ref="Q51" r:id="rId93"/>
    <hyperlink xmlns:r="http://schemas.openxmlformats.org/officeDocument/2006/relationships" ref="R51" r:id="rId94"/>
    <hyperlink xmlns:r="http://schemas.openxmlformats.org/officeDocument/2006/relationships" ref="Q53" r:id="rId95"/>
    <hyperlink xmlns:r="http://schemas.openxmlformats.org/officeDocument/2006/relationships" ref="R53" r:id="rId96"/>
    <hyperlink xmlns:r="http://schemas.openxmlformats.org/officeDocument/2006/relationships" ref="Q54" r:id="rId97"/>
    <hyperlink xmlns:r="http://schemas.openxmlformats.org/officeDocument/2006/relationships" ref="R54" r:id="rId98"/>
    <hyperlink xmlns:r="http://schemas.openxmlformats.org/officeDocument/2006/relationships" ref="O55" r:id="rId99"/>
    <hyperlink xmlns:r="http://schemas.openxmlformats.org/officeDocument/2006/relationships" ref="R55" r:id="rId100"/>
    <hyperlink xmlns:r="http://schemas.openxmlformats.org/officeDocument/2006/relationships" ref="Q56" r:id="rId101"/>
    <hyperlink xmlns:r="http://schemas.openxmlformats.org/officeDocument/2006/relationships" ref="R57" r:id="rId102"/>
    <hyperlink xmlns:r="http://schemas.openxmlformats.org/officeDocument/2006/relationships" ref="R58" r:id="rId103"/>
    <hyperlink xmlns:r="http://schemas.openxmlformats.org/officeDocument/2006/relationships" ref="R59" r:id="rId104"/>
    <hyperlink xmlns:r="http://schemas.openxmlformats.org/officeDocument/2006/relationships" ref="R60" r:id="rId105"/>
    <hyperlink xmlns:r="http://schemas.openxmlformats.org/officeDocument/2006/relationships" ref="R61" r:id="rId106"/>
    <hyperlink xmlns:r="http://schemas.openxmlformats.org/officeDocument/2006/relationships" ref="R62" r:id="rId107"/>
    <hyperlink xmlns:r="http://schemas.openxmlformats.org/officeDocument/2006/relationships" ref="R63" r:id="rId108"/>
    <hyperlink xmlns:r="http://schemas.openxmlformats.org/officeDocument/2006/relationships" ref="R64" r:id="rId109"/>
    <hyperlink xmlns:r="http://schemas.openxmlformats.org/officeDocument/2006/relationships" ref="R65" r:id="rId110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2026-10-26T17:20:21Z</dcterms:created>
  <dcterms:modified xmlns:dcterms="http://purl.org/dc/terms/" xmlns:xsi="http://www.w3.org/2001/XMLSchema-instance" xsi:type="dcterms:W3CDTF">2026-10-26T17:20:21Z</dcterms:modified>
</cp:coreProperties>
</file>